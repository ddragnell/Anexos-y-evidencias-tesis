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Protocolo" sheetId="2" state="visible" r:id="rId4"/>
    <sheet name="Cribado" sheetId="3" state="visible" r:id="rId5"/>
    <sheet name="Síntesis" sheetId="4" state="visible" r:id="rId6"/>
    <sheet name="Taxonomía" sheetId="5" state="visible" r:id="rId7"/>
    <sheet name="Lectura_profunda" sheetId="6" state="visible" r:id="rId8"/>
    <sheet name="Hallazgos" sheetId="7" state="visible" r:id="rId9"/>
  </sheets>
  <definedNames>
    <definedName function="false" hidden="true" localSheetId="2" name="_xlnm._FilterDatabase" vbProcedure="false">Cribado!$A$1:$AR$127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<sst xmlns="http://schemas.openxmlformats.org/spreadsheetml/2006/main" count="3531" uniqueCount="1562">
  <si>
    <t xml:space="preserve">Matriz de revisión de literatura</t>
  </si>
  <si>
    <t xml:space="preserve">Trabajo de grado: Identificación preventiva de información sensible en el uso empresarial de IA generativa mediante un enfoque híbrido de NER y expresiones regulares. Autor: Andrés Felipe Saldarriaga Becerra.</t>
  </si>
  <si>
    <t xml:space="preserve">Propósito</t>
  </si>
  <si>
    <t xml:space="preserve">Esta matriz documenta la revisión de literatura que sustenta el objetivo específico 1: la taxonomía de información sensible, la asignación de un detector a cada tipo de entidad, las métricas de evaluación y los vacíos que justifican el trabajo. Cada decisión de la tesis que se apoya en la literatura remite a estudios concretos de la hoja Cribado.</t>
  </si>
  <si>
    <t xml:space="preserve">Búsqueda</t>
  </si>
  <si>
    <t xml:space="preserve">Fuente</t>
  </si>
  <si>
    <t xml:space="preserve">Scopus (exportación CSV con 126 registros)</t>
  </si>
  <si>
    <t xml:space="preserve">Campos</t>
  </si>
  <si>
    <t xml:space="preserve">Título, resumen y palabras clave</t>
  </si>
  <si>
    <t xml:space="preserve">Ecuación</t>
  </si>
  <si>
    <t xml:space="preserve">TITLE-ABS-KEY(("personally identifiable information" OR PII OR "sensitive information" OR "sensitive data") AND ("named entity recognition" OR NER OR "regular expression*" OR regex) AND (detect* OR anonym* OR de-identif* OR mask* OR redact*) AND (text* OR document* OR prompt*)) AND PUBYEAR &gt; 2021 AND PUBYEAR &lt; 2028</t>
  </si>
  <si>
    <t xml:space="preserve">Fecha de la búsqueda replicada</t>
  </si>
  <si>
    <t xml:space="preserve">10 de octubre de 2026</t>
  </si>
  <si>
    <t xml:space="preserve">Registros</t>
  </si>
  <si>
    <t xml:space="preserve">126 (dos con año 2027, ya indexados antes de su publicación definitiva)</t>
  </si>
  <si>
    <t xml:space="preserve">Resultado del cribado</t>
  </si>
  <si>
    <t xml:space="preserve">Decisión</t>
  </si>
  <si>
    <t xml:space="preserve">% del total</t>
  </si>
  <si>
    <t xml:space="preserve">Versión anterior</t>
  </si>
  <si>
    <t xml:space="preserve">Núcleo</t>
  </si>
  <si>
    <t xml:space="preserve">Complementario</t>
  </si>
  <si>
    <t xml:space="preserve">Excluido</t>
  </si>
  <si>
    <t xml:space="preserve">Total</t>
  </si>
  <si>
    <t xml:space="preserve">Decisiones que cambiaron frente a la versión anterior</t>
  </si>
  <si>
    <t xml:space="preserve">Estudios verificados con el texto completo</t>
  </si>
  <si>
    <t xml:space="preserve">Cómo está organizada</t>
  </si>
  <si>
    <t xml:space="preserve">Protocolo</t>
  </si>
  <si>
    <t xml:space="preserve">Preguntas de la revisión, criterios de decisión con su código y significado de cada columna de la hoja Cribado.</t>
  </si>
  <si>
    <t xml:space="preserve">Cribado</t>
  </si>
  <si>
    <t xml:space="preserve">Los 126 registros, uno por fila: decisión, código del criterio, justificación específica y extracción de técnicas, entidades, datos, métricas y rasgos de evaluación. La columna «Decisión en la versión anterior» aparece en rojo cuando la decisión cambió.</t>
  </si>
  <si>
    <t xml:space="preserve">Síntesis</t>
  </si>
  <si>
    <t xml:space="preserve">Conteos calculados con fórmulas sobre la hoja Cribado: decisiones por criterio y por año, técnicas, entidades, idiomas, dominios y rasgos de evaluación de los estudios núcleo.</t>
  </si>
  <si>
    <t xml:space="preserve">Taxonomía</t>
  </si>
  <si>
    <t xml:space="preserve">Trazabilidad de las trece etiquetas de la Tabla 6 de la tesis: cuántos estudios núcleo las mencionan, qué estudios respaldan el detector asignado y cuándo la etiqueta se incluye por analogía, sin respaldo directo.</t>
  </si>
  <si>
    <t xml:space="preserve">Lectura_profunda</t>
  </si>
  <si>
    <t xml:space="preserve">Trece estudios clave revisados más allá del abstract: qué se verificó, sus resultados, la decisión de diseño que sustentan y qué se corrigió frente a lo que decía el abstract.</t>
  </si>
  <si>
    <t xml:space="preserve">Hallazgos</t>
  </si>
  <si>
    <t xml:space="preserve">Hallazgos de la revisión con su evidencia, su implicación para el diseño y la sección de la tesis donde se usan.</t>
  </si>
  <si>
    <t xml:space="preserve">Alcance y limitaciones</t>
  </si>
  <si>
    <t xml:space="preserve">• El cribado y la extracción de la hoja Cribado se basan en el título y el abstract de cada registro; una entidad o técnica se marca solo si el abstract la menciona de forma explícita. Por eso las columnas de entidades subestiman lo que los artículos contienen.</t>
  </si>
  <si>
    <t xml:space="preserve">• Diez estudios de la hoja Lectura_profunda se verificaron con el texto completo; en S090 y S012 solo se pudo revisar el repositorio y en S048 solo los metadatos. Esa evidencia se reporta aparte y no modifica las marcas basadas en el abstract.</t>
  </si>
  <si>
    <t xml:space="preserve">• La revisión la hizo un solo revisor; los criterios explícitos y la justificación de cada decisión permiten que otra persona la repita y la audite.</t>
  </si>
  <si>
    <t xml:space="preserve">• Los antecedentes identificados por fuera de Scopus (Chong et al., 2025; Carpentier et al., 2024; Pilán et al., 2022) no forman parte de los 126 registros y se señalan en la hoja Hallazgos.</t>
  </si>
  <si>
    <t xml:space="preserve">Protocolo de la revisión</t>
  </si>
  <si>
    <t xml:space="preserve">Preguntas de la revisión</t>
  </si>
  <si>
    <t xml:space="preserve">Pregunta</t>
  </si>
  <si>
    <t xml:space="preserve">Tema</t>
  </si>
  <si>
    <t xml:space="preserve">Hoja donde se responde</t>
  </si>
  <si>
    <t xml:space="preserve">P1</t>
  </si>
  <si>
    <t xml:space="preserve">Entidades</t>
  </si>
  <si>
    <t xml:space="preserve">¿Qué tipos de información sensible detectan los trabajos y cómo los organizan?</t>
  </si>
  <si>
    <t xml:space="preserve">Taxonomía; Síntesis (entidades)</t>
  </si>
  <si>
    <t xml:space="preserve">P2</t>
  </si>
  <si>
    <t xml:space="preserve">Técnicas</t>
  </si>
  <si>
    <t xml:space="preserve">¿Qué técnicas se usan para cada tipo y cuándo combinan reglas con modelos?</t>
  </si>
  <si>
    <t xml:space="preserve">Síntesis (técnicas); Taxonomía; Hallazgos</t>
  </si>
  <si>
    <t xml:space="preserve">P3</t>
  </si>
  <si>
    <t xml:space="preserve">Datos e idioma</t>
  </si>
  <si>
    <t xml:space="preserve">¿Con qué datos, dominios e idiomas se evalúan, y cuánta evidencia hay en español?</t>
  </si>
  <si>
    <t xml:space="preserve">Síntesis (idiomas y dominios)</t>
  </si>
  <si>
    <t xml:space="preserve">P4</t>
  </si>
  <si>
    <t xml:space="preserve">Evaluación</t>
  </si>
  <si>
    <t xml:space="preserve">¿Qué métricas usan y cuántos trabajos miden la utilidad del texto protegido o la respuesta de un LLM?</t>
  </si>
  <si>
    <t xml:space="preserve">Síntesis (rasgos de evaluación); Hallazgos</t>
  </si>
  <si>
    <t xml:space="preserve">Criterios de decisión</t>
  </si>
  <si>
    <t xml:space="preserve">Código</t>
  </si>
  <si>
    <t xml:space="preserve">Se asigna cuando</t>
  </si>
  <si>
    <t xml:space="preserve">Ejemplos</t>
  </si>
  <si>
    <t xml:space="preserve">N</t>
  </si>
  <si>
    <t xml:space="preserve">El estudio detecta, desidentifica, anonimiza, seudonimiza o enmascara información sensible en texto escrito y aporta evidencia sobre entidades, técnicas, datos o métricas.</t>
  </si>
  <si>
    <t xml:space="preserve">S026, S039, S090, S107</t>
  </si>
  <si>
    <t xml:space="preserve">C1</t>
  </si>
  <si>
    <t xml:space="preserve">Privacidad y utilidad, sustitución o generación de datos sintéticos, sin foco en la detección de entidades.</t>
  </si>
  <si>
    <t xml:space="preserve">S041, S076, S104</t>
  </si>
  <si>
    <t xml:space="preserve">C2</t>
  </si>
  <si>
    <t xml:space="preserve">Arquitectura, gobierno o control de acceso de sistemas con LLM, donde la detección es un componente secundario.</t>
  </si>
  <si>
    <t xml:space="preserve">S010, S023, S096</t>
  </si>
  <si>
    <t xml:space="preserve">C3</t>
  </si>
  <si>
    <t xml:space="preserve">La detección se hace sobre texto extraído de imágenes o audio (OCR o reconocimiento de voz); aporta técnicas, pero no el escenario de texto escrito.</t>
  </si>
  <si>
    <t xml:space="preserve">S013, S033, S040</t>
  </si>
  <si>
    <t xml:space="preserve">C4</t>
  </si>
  <si>
    <t xml:space="preserve">Ataques, análisis de riesgo o clasificación de documentos por sensibilidad, sin un mecanismo de protección.</t>
  </si>
  <si>
    <t xml:space="preserve">S032, S035, S060</t>
  </si>
  <si>
    <t xml:space="preserve">C5</t>
  </si>
  <si>
    <t xml:space="preserve">Capítulo, marco general o herramienta amplia sin evaluación de la detección.</t>
  </si>
  <si>
    <t xml:space="preserve">S024, S055</t>
  </si>
  <si>
    <t xml:space="preserve">E1</t>
  </si>
  <si>
    <t xml:space="preserve">No es un estudio primario: fe de erratas o presentación de actas de un congreso.</t>
  </si>
  <si>
    <t xml:space="preserve">S006, S092, S114</t>
  </si>
  <si>
    <t xml:space="preserve">E2</t>
  </si>
  <si>
    <t xml:space="preserve">El problema principal es otro (phishing, vulnerabilidades web, inteligencia de amenazas, predicción judicial, análisis de fraude o de quejas); la privacidad es incidental.</t>
  </si>
  <si>
    <t xml:space="preserve">S020, S061, S073</t>
  </si>
  <si>
    <t xml:space="preserve">E3</t>
  </si>
  <si>
    <t xml:space="preserve">La protección de datos personales es un paso menor de otro proceso y no se evalúa.</t>
  </si>
  <si>
    <t xml:space="preserve">S003</t>
  </si>
  <si>
    <t xml:space="preserve">El acceso abierto no se usó como criterio de exclusión. Las decisiones se tomaron con el título y el abstract.</t>
  </si>
  <si>
    <t xml:space="preserve">Columnas de la hoja Cribado</t>
  </si>
  <si>
    <t xml:space="preserve">Columna</t>
  </si>
  <si>
    <t xml:space="preserve">Valores</t>
  </si>
  <si>
    <t xml:space="preserve">Significado</t>
  </si>
  <si>
    <t xml:space="preserve">Decisión y Código</t>
  </si>
  <si>
    <t xml:space="preserve">Núcleo, Complementario, Excluido; N, C1–C5, E1–E3</t>
  </si>
  <si>
    <t xml:space="preserve">Decisión del cribado y criterio que la sustenta.</t>
  </si>
  <si>
    <t xml:space="preserve">Grupo de dominio</t>
  </si>
  <si>
    <t xml:space="preserve">Diez grupos</t>
  </si>
  <si>
    <t xml:space="preserve">Agrupa el dominio libre para los conteos de la hoja Síntesis.</t>
  </si>
  <si>
    <t xml:space="preserve">Grupo de idioma</t>
  </si>
  <si>
    <t xml:space="preserve">Inglés; Español (solo o con otras lenguas); Otra lengua; Multilingüe; No indicado o no aplica</t>
  </si>
  <si>
    <t xml:space="preserve">Idioma de los datos evaluados según el abstract.</t>
  </si>
  <si>
    <t xml:space="preserve">Técnicas (siete columnas)</t>
  </si>
  <si>
    <t xml:space="preserve">X o vacío</t>
  </si>
  <si>
    <t xml:space="preserve">Se marca la técnica que el abstract menciona como parte del método o de la comparación.</t>
  </si>
  <si>
    <t xml:space="preserve">Híbrido (reglas + modelo)</t>
  </si>
  <si>
    <t xml:space="preserve">Sí / No (fórmula)</t>
  </si>
  <si>
    <t xml:space="preserve">Sí cuando el estudio combina regex o reglas con un modelo aprendido (ML clásico, transformer o LLM).</t>
  </si>
  <si>
    <t xml:space="preserve">Entidades (catorce columnas)</t>
  </si>
  <si>
    <t xml:space="preserve">Se marca solo si el abstract nombra ese tipo de dato de forma explícita (por ejemplo, «phone numbers» para PHONE).</t>
  </si>
  <si>
    <t xml:space="preserve">Protege el texto antes de enviarlo a un servicio externo</t>
  </si>
  <si>
    <t xml:space="preserve">Sí / No</t>
  </si>
  <si>
    <t xml:space="preserve">El mecanismo actúa sobre el texto antes de que salga hacia un LLM u otro servicio (proxy, extensión de navegador, filtro previo).</t>
  </si>
  <si>
    <t xml:space="preserve">Evalúa la utilidad del texto protegido</t>
  </si>
  <si>
    <t xml:space="preserve">Mide preservación semántica, desempeño de una tarea posterior o calidad del texto transformado.</t>
  </si>
  <si>
    <t xml:space="preserve">Evalúa la respuesta de un LLM</t>
  </si>
  <si>
    <t xml:space="preserve">Mide la respuesta que genera un LLM a partir del texto protegido.</t>
  </si>
  <si>
    <t xml:space="preserve">Base de evidencia</t>
  </si>
  <si>
    <t xml:space="preserve">Abstract; Abstract y texto completo; Abstract y repositorio</t>
  </si>
  <si>
    <t xml:space="preserve">Indica si el estudio también se verificó con el texto completo o, cuando el artículo no estaba disponible, con su repositorio (hoja Lectura_profunda).</t>
  </si>
  <si>
    <t xml:space="preserve">ID</t>
  </si>
  <si>
    <t xml:space="preserve">Autores</t>
  </si>
  <si>
    <t xml:space="preserve">Año</t>
  </si>
  <si>
    <t xml:space="preserve">Título</t>
  </si>
  <si>
    <t xml:space="preserve">Tipo de documento</t>
  </si>
  <si>
    <t xml:space="preserve">DOI</t>
  </si>
  <si>
    <t xml:space="preserve">Justificación (basada en el abstract)</t>
  </si>
  <si>
    <t xml:space="preserve">Decisión en la versión anterior</t>
  </si>
  <si>
    <t xml:space="preserve">Dominio</t>
  </si>
  <si>
    <t xml:space="preserve">Idioma de los datos</t>
  </si>
  <si>
    <t xml:space="preserve">Regex / reglas</t>
  </si>
  <si>
    <t xml:space="preserve">Diccionarios / listas</t>
  </si>
  <si>
    <t xml:space="preserve">ML clásico o NER no transformer (CRF, BiLSTM, spaCy)</t>
  </si>
  <si>
    <t xml:space="preserve">Transformer (BERT y similares)</t>
  </si>
  <si>
    <t xml:space="preserve">LLM</t>
  </si>
  <si>
    <t xml:space="preserve">Herramienta existente (Presidio, Purview…)</t>
  </si>
  <si>
    <t xml:space="preserve">Otra técnica (embeddings, OCR, privacidad diferencial…)</t>
  </si>
  <si>
    <t xml:space="preserve">PER</t>
  </si>
  <si>
    <t xml:space="preserve">EMAIL</t>
  </si>
  <si>
    <t xml:space="preserve">PHONE</t>
  </si>
  <si>
    <t xml:space="preserve">ADDRESS</t>
  </si>
  <si>
    <t xml:space="preserve">ID_DOC</t>
  </si>
  <si>
    <t xml:space="preserve">FIN_ID</t>
  </si>
  <si>
    <t xml:space="preserve">DATE</t>
  </si>
  <si>
    <t xml:space="preserve">LOC</t>
  </si>
  <si>
    <t xml:space="preserve">ORG</t>
  </si>
  <si>
    <t xml:space="preserve">CREDENTIAL / SECRET</t>
  </si>
  <si>
    <t xml:space="preserve">NET_DIGITAL</t>
  </si>
  <si>
    <t xml:space="preserve">URL</t>
  </si>
  <si>
    <t xml:space="preserve">DOC_REF</t>
  </si>
  <si>
    <t xml:space="preserve">Atributo sensible semántico</t>
  </si>
  <si>
    <t xml:space="preserve">Datos / corpus</t>
  </si>
  <si>
    <t xml:space="preserve">Métricas o resultados del abstract</t>
  </si>
  <si>
    <t xml:space="preserve">Abstract</t>
  </si>
  <si>
    <t xml:space="preserve">S001</t>
  </si>
  <si>
    <t xml:space="preserve">Thakkar M.; Vora J.; Patel K.; Agrawal A.K.; Sorathiya Y.</t>
  </si>
  <si>
    <t xml:space="preserve">Implementation of an OSINT-Based Dark Web Monitoring Tool for Stolen Personally Identifiable Information (PII)</t>
  </si>
  <si>
    <t xml:space="preserve">GSEACT 2026 - 2026 IEEE Global Symposium on Emerging and Communication Technologies</t>
  </si>
  <si>
    <t xml:space="preserve">Conference paper</t>
  </si>
  <si>
    <t xml:space="preserve">10.1109/GSEACT68539.2026.11620580</t>
  </si>
  <si>
    <t xml:space="preserve">Detecta PII expuesta en texto extraído de la dark web con un motor híbrido de regex, NER y Presidio; útil como evidencia de la combinación con Presidio.</t>
  </si>
  <si>
    <t xml:space="preserve">Web / ciberseguridad</t>
  </si>
  <si>
    <t xml:space="preserve">Ciberseguridad u otro problema</t>
  </si>
  <si>
    <t xml:space="preserve">No indicado</t>
  </si>
  <si>
    <t xml:space="preserve">No indicado o no aplica</t>
  </si>
  <si>
    <t xml:space="preserve">X</t>
  </si>
  <si>
    <t xml:space="preserve">No</t>
  </si>
  <si>
    <t xml:space="preserve">Datos sintéticos</t>
  </si>
  <si>
    <t xml:space="preserve">Exactitud 89,1 %</t>
  </si>
  <si>
    <t xml:space="preserve">The rise in large-scale data breaches has increased the circulation of stolen Personally Identifiable Information (PII) across anonymized dark web ecosystems, where conventional monitoring tools have limited visibility. Ethical analysis of such environments is further constrained by legal restrictions and the absence of reproducible, open-source research frameworks. This paper presents a hybrid OSINT-based Dark Web Intelligence System designed to ethically detect exposed PII using a multistage pipeline integrating Tor-based anonymous crawling, automated text extraction, and a hybrid detection engine combining Regular Expressions, Named Entity Recognition (NER), and Microsoft Presidio. The system incorporates HMAC-SHA256 hashing for privacy-preserving storage and a modular visualization dashboard for real-time analysis. Evaluation on synthetically generated datasets demonstrated an overall accuracy of 89.1%, outperforming single method approaches by up to 15%. The proposed framework addresses critical gaps in ethical dark web research, offering a scalable, transparent, and academically reproducible approach to early breach detection and cybersecurity threat intelligence. © 2026 IEEE.</t>
  </si>
  <si>
    <t xml:space="preserve">S002</t>
  </si>
  <si>
    <t xml:space="preserve">Pulickal E.; Kirtikar Y.; Dalvi T.; Rao A.</t>
  </si>
  <si>
    <t xml:space="preserve">SquidAct: Automated Custom Redaction</t>
  </si>
  <si>
    <t xml:space="preserve">Lecture Notes in Networks and Systems</t>
  </si>
  <si>
    <t xml:space="preserve">10.1007/978-981-96-3361-6_20</t>
  </si>
  <si>
    <t xml:space="preserve">Herramienta de redacción de documentos Word y PDF con patrones y NLP, incluidos patrones definidos por el usuario.</t>
  </si>
  <si>
    <t xml:space="preserve">Documentos generales</t>
  </si>
  <si>
    <t xml:space="preserve">General / documentos</t>
  </si>
  <si>
    <t xml:space="preserve">No reporta métricas cuantitativas</t>
  </si>
  <si>
    <t xml:space="preserve">There is a critical need for a solution to protect sensitive data in an efficient, easy and automated manner. It is a common practice in various industries to obfuscate documents, however, existing software such as Adobe Acrobat Professional, ObjectiveRedact, and PDF element is either expensive, complex to use, or do not provide sufficient redaction features. The goal of our research is to create an automated redaction tool that can automatically detect and remove sensitive data in Word (.docx) and PDF (.pdf) documents. The tool will utilize pattern recognition algorithms and natural language processing techniques to redact sensitive information including custom user sensitive information. Minimizing the risk of data leakage, saving time, ensuring compliance with regulatory requirements, and allowing users to define their own custom sensitive data patterns to redact are some of the primary objectives of the tool. The tool also offers the users a preview and verification method which allows users to examine and improve redaction suggestions for better accuracy. This feature also promotes keeping the human element in the loop. Robust encryption methods have been put in place to safeguard documents that are being stored. © The Author(s), under exclusive license to Springer Nature Singapore Pte Ltd. 2025.</t>
  </si>
  <si>
    <t xml:space="preserve">Mahammadli E.; Rustamov S.</t>
  </si>
  <si>
    <t xml:space="preserve">AzText: Curating Web-Scale Pretraining Data for a Low-Resource Language</t>
  </si>
  <si>
    <t xml:space="preserve">Communications in Computer and Information Science</t>
  </si>
  <si>
    <t xml:space="preserve">10.1007/978-3-032-31319-5_23</t>
  </si>
  <si>
    <t xml:space="preserve">La redacción de PII con regex es un paso menor de la curación de un corpus; el estudio no evalúa la detección.</t>
  </si>
  <si>
    <t xml:space="preserve">Corpus de preentrenamiento</t>
  </si>
  <si>
    <t xml:space="preserve">Azerí</t>
  </si>
  <si>
    <t xml:space="preserve">Otra lengua</t>
  </si>
  <si>
    <t xml:space="preserve">CulturaX, OSCAR, C4, Wikipedia</t>
  </si>
  <si>
    <t xml:space="preserve">Perplejidad, exactitud HellaSwag</t>
  </si>
  <si>
    <t xml:space="preserve">Large language models require large volumes of clean text for pretraining, yet low-resource languages such as Azerbaijani lack curated corpora of sufficient quality and scale. We present a multi-stage curation pipeline for Azerbaijani web text and report a systematic ablation study at n-gram scale. Starting from 14 million documents (4.66 billion tokens) drawn from five sources (CulturaX, OSCAR, C4, Wikipedia, and digitized books), the pipeline applies Unicode normalization, eight heuristic quality filters, ML-based scoring with language identification and n-gram language models (including KenLM), exact and MinHash near-deduplication, and regex-based PII redaction. The final corpus retains 9.5 million documents (3.0 billion tokens), i.e. 67.9% of documents and 64.4% of tokens. For internal comparison of corpus variants, we use n-gram perplexity and a translated Azerbaijani HellaSwag proxy as cheap surrogates; we treat these as screening signals rather than full evaluations of neural pretraining utility. Under this protocol, heuristic filters and deduplication each remove roughly one-sixth of documents. Digitized Azerbaijani books emerge as the most informative single source, and global MinHash deduplication yields a 0.8%-point accuracy gain over no deduplication at 3 billion training tokens. A corpus-trained SentencePiece tokenizer compresses Azerbaijani text 2.7× more efficiently than GPT-2. The contribution is the documented pipeline, the ablation evidence isolating each stage, and the released corpus and tokenizer, which together provide a reproducible starting point for transformer-based Azerbaijani pretraining. All code, the curated corpus, the SentencePiece tokenizer, and the HellaSwag-AZ evaluation set are released publicly. © The Author(s) 2026.</t>
  </si>
  <si>
    <t xml:space="preserve">S004</t>
  </si>
  <si>
    <t xml:space="preserve">Pham D.; Kairouz P.; Mireshghallah N.; Bagdasarian E.; Pham C.M.; Houmansadr A.</t>
  </si>
  <si>
    <t xml:space="preserve">Can Large Language Models Really Recognize Your Name?</t>
  </si>
  <si>
    <t xml:space="preserve">ACM FAccT 2026 - Proceedings of the 9th annual ACM Conference on Fairness, Accountability, and Transparency</t>
  </si>
  <si>
    <t xml:space="preserve">10.1145/3805689.3806747</t>
  </si>
  <si>
    <t xml:space="preserve">Muestra que los LLM pierden entre 20 % y 40 % de recall en nombres ambiguos; respalda no depender solo de un LLM para PER.</t>
  </si>
  <si>
    <t xml:space="preserve">LLM / herramientas de privacidad</t>
  </si>
  <si>
    <t xml:space="preserve">LLM / asistentes</t>
  </si>
  <si>
    <t xml:space="preserve">Inglés</t>
  </si>
  <si>
    <t xml:space="preserve">AmBench (12.000 nombres ambiguos)</t>
  </si>
  <si>
    <t xml:space="preserve">Recall por tipo de nombre</t>
  </si>
  <si>
    <t xml:space="preserve">Large language models (LLMs) are increasingly being used in privacy pipelines to detect and remedy sensitive data leakage. These solutions often rely on the premise that LLMs can reliably recognize human names, one of the most important categories of personally identifiable information (PII). In this paper, we reveal how LLMs can consistently mishandle broad classes of human names even in short text snippets due to ambiguous linguistic cues in the contexts. We construct AmBench, a benchmark of over 12,000 real yet ambiguous human names based on the name regularity bias phenomenon. Each name appears in dozens of concise text snippets that are compatible with multiple entity types. Our experiments with 12 state-of-the-art LLMs show that the recall of AmBench names drops by 20-40% compared to more recognizable names. This uneven privacy protection due to linguistic properties raises important concerns about the fairness of privacy enforcement. When the contexts contain benign prompt injections - instruction-like user texts that can cause LLMs to conflate data with commands - AmBench names can become four times more likely to be ignored in Clio, an LLM-powered enterprise tool used by Anthropic AI to extract supposedly privacy-preserving insights from user conversations with Claude. Our findings showcase blind spots in the performance and fairness of LLM-based privacy solutions and call for a systematic investigation into their privacy failure modes and countermeasures. © 2026 Copyright held by the owner/author(s).</t>
  </si>
  <si>
    <t xml:space="preserve">S005</t>
  </si>
  <si>
    <t xml:space="preserve">Mortadi A.; Nazih W.; Eldesouki M.I.; Hifny Y.</t>
  </si>
  <si>
    <t xml:space="preserve">Intelligent De-Identification of Medical Discharge Summaries Using Hybrid NLP Techniques</t>
  </si>
  <si>
    <t xml:space="preserve">ACM Transactions on Asian and Low-Resource Language Information Processing</t>
  </si>
  <si>
    <t xml:space="preserve">Article</t>
  </si>
  <si>
    <t xml:space="preserve">10.1145/3724118</t>
  </si>
  <si>
    <t xml:space="preserve">Desidentificación híbrida con NER, regex y listas de nombres y direcciones.</t>
  </si>
  <si>
    <t xml:space="preserve">Clínico</t>
  </si>
  <si>
    <t xml:space="preserve">Salud / clínico</t>
  </si>
  <si>
    <t xml:space="preserve">Resúmenes de alta sintéticos, OntoNotes, CoNLL-2003</t>
  </si>
  <si>
    <t xml:space="preserve">Desempeño de desidentificación</t>
  </si>
  <si>
    <t xml:space="preserve">Medical discharge summaries are vital documents in healthcare, often containing Personally Identifiable Information (PII), raising concerns regarding privacy and regulatory compliance. This article proposes a cutting-edge approach that utilizes intelligent data de-identification to address this challenge. This article employs Natural Language Processing (NLP) techniques such as Named Entity Recognition (NER), a hybrid approach that integrates Machine Learning (ML) models, Regular Expressions (REGEX)-based recognizers, and extensive lists of names and addresses. The proposed method focuses on achieving a delicate balance between extracting valuable insights from data and safeguarding sensitive information. The evaluation against benchmarks demonstrates significant improvements in de-identification performance, particularly in discharge summaries. We present findings from our system’s evaluation of synthesized discharge summaries, the OntoNotes dataset, and the CoNLL-2003 dataset, demonstrating its effectiveness in anonymizing diverse medical text sources. © 2025 Copyright held by the owner/author(s).</t>
  </si>
  <si>
    <t xml:space="preserve">S006</t>
  </si>
  <si>
    <t xml:space="preserve">Jabbarpour A.; Moulton E.; Kaviani S.; Ghassel S.; Zeng W.; Akbarian R.; Couture A.; Roy A.; Liu R.; Lucinian Y.A.; Hejji N.; AlSulaiman S.; Shirazi F.; Leung E.; Bonsall S.; Arfin S.; Gray B.G.; Klein R.</t>
  </si>
  <si>
    <t xml:space="preserve">Correction: On the construction of a large-scale database of AI-assisted annotating lung ventilation-perfusion scintigraphy for pulmonary embolism (VQ4PEDB) (Frontiers in Nuclear Medicine, (2025), 5, (1632112), 10.3389/fnume.2025.1632112)</t>
  </si>
  <si>
    <t xml:space="preserve">Frontiers in Nuclear Medicine</t>
  </si>
  <si>
    <t xml:space="preserve">Erratum</t>
  </si>
  <si>
    <t xml:space="preserve">10.3389/fnume.2025.1671281</t>
  </si>
  <si>
    <t xml:space="preserve">Fe de erratas de otro artículo; no es un estudio.</t>
  </si>
  <si>
    <t xml:space="preserve">No aplica</t>
  </si>
  <si>
    <t xml:space="preserve">-</t>
  </si>
  <si>
    <t xml:space="preserve">We have incorrectly opined about the performance of a private company's third party software. The performance related to Canadian zip codes as well as other types of data was due to a user error and improper configuration of the tool by the authors. We have made the following edits: A correction has been made to the section “Methods, Anonymization of DICOM files and de-identification of clinical reports, second paragraph”. The correct paragraph reads: “For clinical report texts, we adopted and compounded the effect of the following three independent approaches as a conservative de-identification strategy: (1) Segmed Inc.'s Python-based web server was used to remove PII/PHI from clinical reports, (2) RegEx rules were used to remove Canadian formatted addresses and postal codes in Python, and (3) resulting texts were fed to a Microsoft Copilot agent that was instructed to list suspected people names, addresses, street names, 5–8 digit numbers, business names, clinic names and occupations. The agent was further prompted to ignore medical terms. The resulting terms were then manually screened for relevance, the terms were searched for in the text and then replaced with “[Anon]”.” A correction has been made to the section “Discussion, Data Ingestion, first paragraph”. The correct paragraph reads: “QA revealed our unstructured text data to be properly de-identified, highlighting the effectiveness of our multiple layers of de-identification approaches. Structured DICOM data from hospital sources proved straightforward to robustly de-identify using our strategy. Also, during our QA process, various non-structured DICOM tags, such as series description, used during splitting process were identified and addressed accordingly to preserve integrity of workflow.” Original reference 27 has been removed. The original version of this article has been updated. 2025 Jabbarpour, Moulton, Kaviani, Ghassel, Zeng, Akbarian, Couture, Roy, Liu, Lucinian, Hejji, AlSulaiman, Shirazi, Leung, Bonsall, Arfin, Gray and Klein.</t>
  </si>
  <si>
    <t xml:space="preserve">S007</t>
  </si>
  <si>
    <t xml:space="preserve">Mírovský J.; Novotná T.; Hladká B.</t>
  </si>
  <si>
    <t xml:space="preserve">MasKIT-Anonymization and Pseudonymization of Czech Legal Texts</t>
  </si>
  <si>
    <t xml:space="preserve">Jazykovedny Casopis</t>
  </si>
  <si>
    <t xml:space="preserve">10.2478/jazcas-2025-0017</t>
  </si>
  <si>
    <t xml:space="preserve">Anonimiza y seudonimiza textos jurídicos con NER externo y reglas sobre el análisis sintáctico.</t>
  </si>
  <si>
    <t xml:space="preserve">Legal</t>
  </si>
  <si>
    <t xml:space="preserve">Legal / policial</t>
  </si>
  <si>
    <t xml:space="preserve">Checo</t>
  </si>
  <si>
    <t xml:space="preserve">Textos jurídicos</t>
  </si>
  <si>
    <t xml:space="preserve">No reporta métricas en el abstract</t>
  </si>
  <si>
    <t xml:space="preserve">MasKIT is a command-line tool, an on-line web application and a REST API service for anonymization and pseudonymization of Czech legal texts. Taking a plain text as input (e.g. a letter sent by a legal authority to a citizen), it runs external services for dependency parsing and named entity recognition and then via a rule-based approach identifies and replaces sensitive information in the text. © 2025 Jiří Mírovský et al., published by Slovak Academy of Sciences, Ľudovít Štúr Institute of Linguistics.</t>
  </si>
  <si>
    <t xml:space="preserve">S008</t>
  </si>
  <si>
    <t xml:space="preserve">Dinesh M.; Aswin A.S.; Kannimoola J.M.</t>
  </si>
  <si>
    <t xml:space="preserve">Detection and Redaction of Sensitive Data in Application Logs using LLMs</t>
  </si>
  <si>
    <t xml:space="preserve">Proceedings of 5th International Conference on Pervasive Computing and Social Networking, ICPCSN 2025</t>
  </si>
  <si>
    <t xml:space="preserve">10.1109/ICPCSN65854.2025.11034933</t>
  </si>
  <si>
    <t xml:space="preserve">LLM ajustado para NER de datos sensibles en logs; argumenta los falsos positivos de las regex en formatos variables.</t>
  </si>
  <si>
    <t xml:space="preserve">Software / logs</t>
  </si>
  <si>
    <t xml:space="preserve">Software / secretos técnicos</t>
  </si>
  <si>
    <t xml:space="preserve">Logs de aplicaciones</t>
  </si>
  <si>
    <t xml:space="preserve">Any public organization that collects or processes client or user data is legally required to protect this information, ensuring that it is not retained, shared, or stored anywhere as plain text. Logs, which aggregate data from multiple systems and services that an organization uses, can unintentionally include sensitive information. Conventional rule-based approaches and regular expressions (regex) to extract Personally Identifiable Information from logs can sometimes be inefficient. They cannot be easily adapted to varying log formats and face high false positives. This work proposes a system using a Large Language Model fine tuned for Named Entity Recognition task to identify sensitive items in logs coupled with a redaction module that encrypts the identified entities to generate tokens that can be used to replace the sensitive data. This system can reduce false positives, be adapted to varying log formats and is more secure thus ensuring privacy without compromising practicality.  © 2025 IEEE.</t>
  </si>
  <si>
    <t xml:space="preserve">S009</t>
  </si>
  <si>
    <t xml:space="preserve">Kvasnica P.</t>
  </si>
  <si>
    <t xml:space="preserve">Unstructured documents processing through their anonymization</t>
  </si>
  <si>
    <t xml:space="preserve">Journal of Electrical Engineering</t>
  </si>
  <si>
    <t xml:space="preserve">10.2478/jee-2025-0028</t>
  </si>
  <si>
    <t xml:space="preserve">Anonimización de decisiones judiciales con NER estadístico, diccionarios y reglas.</t>
  </si>
  <si>
    <t xml:space="preserve">Eslovaco</t>
  </si>
  <si>
    <t xml:space="preserve">Decisiones judiciales anotadas</t>
  </si>
  <si>
    <t xml:space="preserve">In Slovakia, a large number of texts on decisions are published by the courts on the MSSR website. All decisions that are published must be anonymous, without all personal and other data (personal and sensitive data that can identify individual entities in the proceedings, reveal their private data, etc.) to the extent described by the decree. Anonymization of court decision data is carried out according to an instruction given in the Court Management application, which supports only basic anonymization functions. Such an anonymization method is time- and human-resource-intensive, and at the same time, it is susceptible to the leakage of sensitive data. The text processing is based on machine learning methods using the principles of user-friendly visualization to accelerate anonymization and minimize the risk of leaking sensitive data. Achieving and improving results in practice the method of recognizing named entities based on the processing of text documents, dictionaries, rules and a trained statistical model on manually annotated data is used. The article describes the basic techniques of the anonymization used in practice, that are machine learning and removing information. Our attention is given to text documents processing, tools and principles for creating a data set of annotated data and evaluating the success of anonymization. The iteratively improving learning model is dominant in that it enables the use of knowledge as well as annotated data.  © 2025 Peter Kvasnica, published by Sciendo.</t>
  </si>
  <si>
    <t xml:space="preserve">S010</t>
  </si>
  <si>
    <t xml:space="preserve">Li Y.; Li C.; Wang Z.; Sui D.; Yan J.</t>
  </si>
  <si>
    <t xml:space="preserve">A Privacy-Preserving Framework for Medical Chatbot Based on LLM with Retrieval Augmented Generation</t>
  </si>
  <si>
    <t xml:space="preserve">Lecture Notes in Computer Science (including subseries Lecture Notes in Artificial Intelligence and Lecture Notes in Bioinformatics) </t>
  </si>
  <si>
    <t xml:space="preserve">10.1007/978-981-97-9437-9_2</t>
  </si>
  <si>
    <t xml:space="preserve">Marco de privacidad para un chatbot médico con RAG; el NER que anonimiza PII es un componente entre varios.</t>
  </si>
  <si>
    <t xml:space="preserve">Clínico / LLM</t>
  </si>
  <si>
    <t xml:space="preserve">Base de conocimiento médica</t>
  </si>
  <si>
    <t xml:space="preserve">With the continuous advancement of Large Language Models (LLMs) and generative AI technologies, an increasing number of organizations are customizing and fine-tuning LLMs with internal data and documents to enhance the efficiency and reliability of data-driven decision-making. However, these approaches also present challenges in terms of data privacy, protection, and governance. In this paper, we investigate the implementation of privacy preservation in the construction of medical Knowledge Base Question Answering (KBQA) based on LLMs. We propose a solution involving fine-grained access control, the de-identification of sensitive data, and prompt engineering with Chain of Thought (CoT). Specifically, the visibility of information is determined based on user identity, and named entity recognition is employed to anonymize personally identifiable information. We also incorporate prompt engineering with Chain of Thought (CoT) to further enhance data privacy. Experimental study has demonstrated the effectiveness of our privacy protection framework. © The Author(s), under exclusive license to Springer Nature Singapore Pte Ltd. 2025.</t>
  </si>
  <si>
    <t xml:space="preserve">S011</t>
  </si>
  <si>
    <t xml:space="preserve">Anselmo M.; Ribas B.C.</t>
  </si>
  <si>
    <t xml:space="preserve">Pseudonymization in Legal Texts According to the LGPD: A Named Entity Recognition Approach</t>
  </si>
  <si>
    <t xml:space="preserve">10.1007/978-3-031-79032-4_22</t>
  </si>
  <si>
    <t xml:space="preserve">Transformer más regex para seudonimizar textos jurídicos según la LGPD, con datos sintéticos generados por LLM.</t>
  </si>
  <si>
    <t xml:space="preserve">Portugués</t>
  </si>
  <si>
    <t xml:space="preserve">LeNER-Br y datos sintéticos de Llama 3</t>
  </si>
  <si>
    <t xml:space="preserve">No reporta valores en el abstract</t>
  </si>
  <si>
    <t xml:space="preserve">This study explores the application of Named Entity Recognition (NER) for the pseudonymization of data in legal texts, aiming to protect Personally Identifiable Information (PII) in compliance with Brazil’s General Data Protection Law (LGPD). The research highlights the challenge of balancing data privacy and utility, presenting a methodology that uses artificial intelligence technologies to effectively identify and obscure PII in legal documents. In this study, we propose a Transformer model along with Regex techniques to identify entities in a text. To test the model, we created a new dataset from the existing LenerBR. We also used a function and prompt engineering applied to the Llama 8B version 3 model to generate synthetic data. Tests showed the need for further adjustments in the proposed new model. Future work will focus on improving the model’s accuracy and efficiency, as well as enhancing the identification of sensitive data and learning from user interactions. © The Author(s), under exclusive license to Springer Nature Switzerland AG 2025.</t>
  </si>
  <si>
    <t xml:space="preserve">S012</t>
  </si>
  <si>
    <t xml:space="preserve">Le K.T.; Gärtner L.; Fleischle F.; Schöller T.; Große S.; Ulusoy I.</t>
  </si>
  <si>
    <t xml:space="preserve">mailcom: Pseudonymization tool for textual data</t>
  </si>
  <si>
    <t xml:space="preserve">SoftwareX</t>
  </si>
  <si>
    <t xml:space="preserve">10.1016/j.softx.2026.102703</t>
  </si>
  <si>
    <t xml:space="preserve">Paquete abierto de seudonimización (mailcom) como capa previa a la revisión humana.</t>
  </si>
  <si>
    <t xml:space="preserve">Correos / humanidades digitales</t>
  </si>
  <si>
    <t xml:space="preserve">Multilingüe</t>
  </si>
  <si>
    <t xml:space="preserve">Abstract y documentación del repositorio (texto completo no disponible)</t>
  </si>
  <si>
    <t xml:space="preserve">The rapid growth of data and its use has heightened concerns about data privacy. To support research on data that contains sensitive attributes, we developed the mailcom package for pseudonymization. mailcom is built entirely on open-source libraries and is designed for configurability and extensibility. Several languages are supported by default, with the option to add additional languages. Since pseudonymized outputs still require human review to guarantee full anonymization, the package serves as a scalable pre-processing layer that reduces manual work while establishing a principled baseline of privacy protection, enabling reproducible research on digital text under current data-ethics and governance standards. © 2026 The Author(s).</t>
  </si>
  <si>
    <t xml:space="preserve">S013</t>
  </si>
  <si>
    <t xml:space="preserve">Parra Ariza A.J.; Rueda-Chacón H.</t>
  </si>
  <si>
    <t xml:space="preserve">Preserving Identity in Speech: Anonymized Transcription for the Colombian Context; [Preservando la Identidad en el Habla: Transcripción Anonimizada para el Contexto Colombiano]</t>
  </si>
  <si>
    <t xml:space="preserve">Procesamiento del Lenguaje Natural</t>
  </si>
  <si>
    <t xml:space="preserve">10.26342/2026-76-16</t>
  </si>
  <si>
    <t xml:space="preserve">Anonimiza transcripciones de voz en español colombiano; es la única evidencia colombiana, pero el texto proviene de audio.</t>
  </si>
  <si>
    <t xml:space="preserve">Voz / transcripción</t>
  </si>
  <si>
    <t xml:space="preserve">Voz o imagen</t>
  </si>
  <si>
    <t xml:space="preserve">Español (Colombia)</t>
  </si>
  <si>
    <t xml:space="preserve">Español (solo o con otras lenguas)</t>
  </si>
  <si>
    <t xml:space="preserve">Corpus de habla colombiano</t>
  </si>
  <si>
    <t xml:space="preserve">WER 7,60 %; F1 NER 60,81 %; F1 anonimización 76,10 %</t>
  </si>
  <si>
    <t xml:space="preserve">Speech has driven the development of Automatic Speech Recognition (ASR) models like Whisper, capable of converting spoken language into written text. However, these models require large amounts of data (corpora), which limits their performance in languages or variants with scarce resources, such as the Colombian Spanish, whose accents and regionalisms are underrepresented. Likewise, the use of recordings often includes sensitive information, such as names or IDs, which makes the collection and sharing of these corpora difficult. This work proposes the development of a model based on the Whisper arquitecture and WhisperX’s pipeline, for anonymized speech transcription in Colombian Spanish, with temporal annotation and speaker diarization. With models achieving a 7,60 % transcription word error rate (WER), an F1-score of 60,81 % for named entity recognition, and an F1-score of 76,10 % for anonymization, it contributes to closing the gap between existing models and Colombian dialects, ensuring robust performance even in low-resource settings. © 2026 Sociedad Española para el Procesamiento del Lenguaje Natural</t>
  </si>
  <si>
    <t xml:space="preserve">S014</t>
  </si>
  <si>
    <t xml:space="preserve">Hassan F.; Sanchez D.; Domingo-Ferrer J.</t>
  </si>
  <si>
    <t xml:space="preserve">Utility-Preserving Privacy Protection of Textual Documents via Word Embeddings</t>
  </si>
  <si>
    <t xml:space="preserve">IEEE Transactions on Knowledge and Data Engineering</t>
  </si>
  <si>
    <t xml:space="preserve">10.1109/TKDE.2021.3076632</t>
  </si>
  <si>
    <t xml:space="preserve">Detecta términos reveladores con embeddings en vez de un conjunto fijo de entidades y reemplaza por generalizaciones; muestra el límite de las etiquetas fijas.</t>
  </si>
  <si>
    <t xml:space="preserve">Sí</t>
  </si>
  <si>
    <t xml:space="preserve">Colecciones de documentos</t>
  </si>
  <si>
    <t xml:space="preserve">Protección y utilidad frente a NER</t>
  </si>
  <si>
    <t xml:space="preserve">Text is the most usual way to share information in society. Yet, if textual documents contain personal sensitive information, they cannot be shared with third parties or released publicly without adequate protection. Privacy-preserving mechanisms provide ways to sanitize data so that identities and/or confidential attributes are not disclosed. In the last twenty years, a great variety of mechanisms have been proposed to protect structured databases with numerical and categorical attributes; however, little attention has been devoted to unstructured textual data. In general, textual data protection requires first detecting pieces of text that may lead to disclosure of sensitive information and then masking those pieces via suppression or generalization. Current solutions rely on pre-trained classifiers that can recognize a fixed set of (allegedly disclosive) named entities, such as names or locations. Yet, such approaches fall short of providing adequate protection because in reality disclosive information is not limited to a predefined set of entity types, and not all the appearances of certain entity type result in disclosure. Besides, named entity recognition requires considerable manual effort to tag the training data needed to build classifiers. In this work we propose a more general and flexible solution for textual data protection. By means of word embeddings we build vectors that numerically capture the semantic relationships of the textual terms appearing in a collection of documents. Then we evaluate the disclosure caused by the textual terms on the entity to be protected (e.g., an individual's identity or a confidential attribute) according to the similarity between their vector representations. Our method also limits the semantic loss (and, therefore, the utility loss) of the document by replacing (rather than just suppressing) disclosive terms with privacy-preserving generalizations. Empirical results show that our approach offers much more robust protection and greater utility preservation than methods based on named entity recognition, with the additional important advantage of avoiding the burden of manual data tagging.  © 1989-2012 IEEE.</t>
  </si>
  <si>
    <t xml:space="preserve">S015</t>
  </si>
  <si>
    <t xml:space="preserve">Shettennavar S.B.; Sharma S.; Aswathy J.S.; Rakshitha K.S.; Karthika R.</t>
  </si>
  <si>
    <t xml:space="preserve">Offline Photo-Shield Automatic System for Finding and Redacting Privacy-Sensitive Information in Images</t>
  </si>
  <si>
    <t xml:space="preserve">Proceedings of the 6th International Conference on Pervasive Computing and Social Networking, ICPCSN 2026</t>
  </si>
  <si>
    <t xml:space="preserve">10.1109/ICPCSN68523.2026.11543660</t>
  </si>
  <si>
    <t xml:space="preserve">Redacción en imágenes con OCR y regex, con puntaje de riesgo; aporta tipos de identificador pero la entrada no es texto.</t>
  </si>
  <si>
    <t xml:space="preserve">Imágenes</t>
  </si>
  <si>
    <t xml:space="preserve">Exactitud</t>
  </si>
  <si>
    <t xml:space="preserve">The Photo-shield Automatic System presents a fully offline, AI-driven image redaction system for protecting sensitive information in digital images. This system automatically detects faces and text using EasyOCR and Media Pipe, respectively. The extracted text is analyzed using Python-based classifiers and REGEX techniques to identify privacy-critical entities. It recognizes Aadhaar, PAN numbers, phone numbers, email IDs, addresses, date of birth, financial details and vehicle registration plates. The detected faces and sensitive text regions are classified into predefined categories. Appropriate masking techniques, such as Gaussian blur or blackout are applied using OpenCV. This entire pipeline operates offline, ensuring data security and eliminating cloud dependency. A predefined risk-scoring module is used to evaluate the severity of privacy for each image. An automated PDF report of risk analysis summarizes the detected and redacted regions. The experimental results show high accuracy across multiple images and environment contexts. © 2026 IEEE.</t>
  </si>
  <si>
    <t xml:space="preserve">S016</t>
  </si>
  <si>
    <t xml:space="preserve">Yao Z.; Hong K.; Wang X.; Ma J.</t>
  </si>
  <si>
    <t xml:space="preserve">Automatic Anonymization of Unstructured Text: Detecting Sensitive Information with Fine-Tuning Large Language Models</t>
  </si>
  <si>
    <t xml:space="preserve">2026 4th International Conference on Big Data and Privacy Computing, BDPC 2026</t>
  </si>
  <si>
    <t xml:space="preserve">10.1109/BDPC69980.2026.11608232</t>
  </si>
  <si>
    <t xml:space="preserve">Compara LLM ajustados (Prefix Tuning y LoRA) con NER y reglas para anonimizar texto.</t>
  </si>
  <si>
    <t xml:space="preserve">Texto no estructurado</t>
  </si>
  <si>
    <t xml:space="preserve">Desempeño de anonimización</t>
  </si>
  <si>
    <t xml:space="preserve">In the age of digital connectivity, vast amounts of data are openly shared across social platforms, e-commerce platforms, and other online channels, potentially leading to inadvertent exposure of sensitive information. As a crucial mechanism for protecting sensitive information, anonymization techniques for structured data have already reached a relatively mature stage. Nevertheless, unstructured textual data lacks fixed structures and involves diverse entity types, making sensitive information difficult to identify through automated methods. Meanwhile, automated anonymization of unstructured text still relies heavily on manual processing, which is costly and inefficient, and thus requires further optimization. Presently, Large Language Models (LLMs) have demonstrated remarkable capabilities in semantic understanding and reasoning, but its effectiveness in anonymizing sensitive information within unstructured text still lacks systematic research. In this paper, we employ two fine-tuning approaches, namely Prefix Tuning and Low-Rank Adaptation (LoRA) Fine-Tuning, and verify that fine-tuned LLMs still achieve excellent performance in the task of anonymizing sensitive information in texts. Furthermore, we conduct a comparative evaluation and analyze their similarities and differences with traditional Named Entity Recognition (NER) and rule-based anonymization approaches. The evaluation results indicate that the fine-tuning model achieves outstanding performance in sensitive information anonymization tasks.  © 2026 IEEE.</t>
  </si>
  <si>
    <t xml:space="preserve">S017</t>
  </si>
  <si>
    <t xml:space="preserve">Albanese F.; Ronco P.; D'Ippolito N.</t>
  </si>
  <si>
    <t xml:space="preserve">Anonymous-by-Construction: An LLM-Driven Framework for Privacy-Preserving Text</t>
  </si>
  <si>
    <t xml:space="preserve">Proceedings - 2026 International Workshop on Responsible AI Engineering, RAIE 2026</t>
  </si>
  <si>
    <t xml:space="preserve">10.1145/3786156.3788578</t>
  </si>
  <si>
    <t xml:space="preserve">Sustitución local de PII antes de un LLM, comparada con Presidio y Google DLP; evalúa la calidad de las respuestas del agente.</t>
  </si>
  <si>
    <t xml:space="preserve">Conversaciones / LLM</t>
  </si>
  <si>
    <t xml:space="preserve">Action-Based Conversation Dataset</t>
  </si>
  <si>
    <t xml:space="preserve">Recall de PII, utilidad semántica, calidad de respuestas del agente</t>
  </si>
  <si>
    <t xml:space="preserve">Abstract y texto completo</t>
  </si>
  <si>
    <t xml:space="preserve">Responsible use of AI demands that we protect sensitive information without undermining the usefulness of data, an imperative that has become acute in the age of large language models. We address this challenge with an on-premise, LLM-driven substitution pipeline that anonymizes text by replacing personally identifiable information (PII) with realistic, type-consistent surrogates. Executed entirely within organizational boundaries using local LLMs, the approach prevents data egress while preserving fluency and task-relevant semantics.We conduct a systematic, multi-metric, cross-Technique evaluation on the Action-Based Conversation Dataset, benchmarking against industry standards (Microsoft Presidio and Google DLP) and a state-of-The-Art approach (ZSTS, in redaction-only and redaction-plus-substitution variants). Our protocol jointly measures privacy (PII recall), semantic utility (sentiment agreement, topic distance), and trainability under privacy via a lifecycle-ready criterion obtained by fine-Tuning a compact encoder (BERT+LoRA) on sanitized text. In addition, we assess agentic Q&amp;A performance by inserting an on-premise anonymization layer before the answering LLM and evaluating the quality of its responses. This intermediate, type-preserving substitution stage ensures that no sensitive content is exposed to third-party APIs, enabling responsible deployment of Q&amp;A agents without compromising confidentiality.Our method attains state-of-The-Art privacy, minimal topical drift, strong factual utility, and low trainability loss, outperforming rule-based approaches and named-entity recognition (NER) baselines and ZSTS variants on the combined privacy-utility-Trainability frontier. These results show that local LLM substitution yields anonymized corpora that are both responsible to use and operationally valuable: safe for agentic pipelines over conversational data and suitable for downstream fine-Tuning with limited degradation. By coupling on-premise anonymization with rigorous, auditable evaluation, this work offers decision-ready evidence for deploying Responsible-AI-by-Design systems in real-world settings.  © 2026 Copyright held by the owner/author(s).</t>
  </si>
  <si>
    <t xml:space="preserve">S018</t>
  </si>
  <si>
    <t xml:space="preserve">Berzi A.; Berényi E.; Képes Z.; Antal B.; Varga Á.G.; Emri M.</t>
  </si>
  <si>
    <t xml:space="preserve">NLP-based removal of personally identifiable information from Hungarian electronic health records</t>
  </si>
  <si>
    <t xml:space="preserve">Frontiers in Artificial Intelligence</t>
  </si>
  <si>
    <t xml:space="preserve">10.3389/frai.2025.1585260</t>
  </si>
  <si>
    <t xml:space="preserve">Modelos spaCy para PII en historias clínicas, con pre-anotación por reglas; muestra el uso de pre-anotación.</t>
  </si>
  <si>
    <t xml:space="preserve">Húngaro</t>
  </si>
  <si>
    <t xml:space="preserve">15.000 historias clínicas, 90.000 PII</t>
  </si>
  <si>
    <t xml:space="preserve">F1 0,970–0,993; 99,67 % de PII removida</t>
  </si>
  <si>
    <t xml:space="preserve">Introduction: Electronic health records (EHR) in text format serve as crucial resources for data-driven medical research. To safeguard patient confidentiality, under the General Data Protection Regulation (GDPR), strict measures are required to ensure personal data is anonymized or pseudonymized to protect individual privacy. Natural language processing has consistently proven effective in automating the de-identification of sensitive information. Methods: We present spaCy models to recognize personally identifiable information (PII) from a wide range of free-text medical records written in Hungarian, a low-resource language. To develop this model, we compiled a corpus of clinical documents by annotating sensitive information within electronic health records sourced from the University of Debrecen. To simplify the annotation process, we pre-annotated the documents using a rule-based method. The corpora comprises over 15,000 documents and includes more than 90,000 instances of PII. We trained several models using this corpus and also developed a separate validation corpus to assess their performance. Results: The performance evaluation of the de-identification models on the developed corpora resulted in F1-scores ranging from 0.9697 to 0.9926. On the validation corpora, the F1-scores ranged from 0.9772 to 0.9867, demonstrating that the models can effectively handle previously unseen examples. Our risk analysis revealed that 99.67% of the sensitive information was successfully removed from the validation dataset. Discussion: The results indicate that similarly to other state-of-the-art systems our model is highly effective at identifying PII in clinical texts, guaranteeing that sensitive information in clinical documents can be protected without sacrificing the quality or usability of the data for research purposes. Despite these positive outcomes, several areas remain to be improved, such as the conduction of additional testing on diverse datasets, particularly those from different healthcare institutions. With ongoing refinements, these models have the potential to greatly enhance the efficiency of data de-identification processes, ensuring compliance with privacy regulations while promoting the secure sharing of medical data for scientific progress. Copyright © 2025 Berzi, Berényi, Képes, Antal, Varga and Emri.</t>
  </si>
  <si>
    <t xml:space="preserve">S019</t>
  </si>
  <si>
    <t xml:space="preserve">Ren L.; Belkadi S.; Han L.; Del-Pinto W.; Nenadic G.</t>
  </si>
  <si>
    <t xml:space="preserve">Synthetic4Health: generating annotated synthetic clinical letters</t>
  </si>
  <si>
    <t xml:space="preserve">Frontiers in Digital Health</t>
  </si>
  <si>
    <t xml:space="preserve">10.3389/fdgth.2025.1497130</t>
  </si>
  <si>
    <t xml:space="preserve">Genera cartas clínicas sintéticas desidentificadas; aporta a la generación de datos sintéticos, no a la detección.</t>
  </si>
  <si>
    <t xml:space="preserve">Cartas clínicas</t>
  </si>
  <si>
    <t xml:space="preserve">BERTScore y NER aguas abajo</t>
  </si>
  <si>
    <t xml:space="preserve">Clinical letters contain sensitive information, limiting their use in model training, medical research, and education. This study aims to generate reliable, diverse, and de-identified synthetic clinical letters to support these tasks. We investigated multiple pre-trained language models for text masking and generation, focusing on Bio_ClinicalBERT, and applied different masking strategies. Evaluation included qualitative and quantitative assessments, downstream named entity recognition (NER) tasks, and clinically focused evaluations using BioGPT and GPT-3.5-turbo. The experiments show: (1) encoder-only models perform better than encoder–decoder models; (2) models trained on general corpora perform comparably to clinical-domain models if clinical entities are preserved; (3) preserving clinical entities and document structure aligns with the task objectives; (4) Masking strategies have a noticeable impact on the quality of synthetic clinical letters: masking stopwords has a positive impact, while masking nouns or verbs has a negative effect; (5) The BERTScore should be the primary quantitative evaluation metric, with other metrics serving as supplementary references; (6) Contextual information has only a limited effect on the models' understanding, suggesting that synthetic letters can effectively substitute real ones in downstream NER tasks; (7) Although the model occasionally generates hallucinated content, it appears to have little effect on overall clinical performance. Unlike previous research, which primarily focuses on reconstructing original letters by training language models, this paper provides a foundational framework for generating diverse, de-identified clinical letters. It offers a direction for utilizing the model to process real-world clinical letters, thereby helping to expand datasets in the clinical domain. Our codes and trained models are available at https://github.com/HECTA-UoM/Synthetic4Health. 2025 Ren, Belkadi, Han, Del-Pinto and Nenadic.</t>
  </si>
  <si>
    <t xml:space="preserve">S020</t>
  </si>
  <si>
    <t xml:space="preserve">Arthy S.; Sakthi Priya G.</t>
  </si>
  <si>
    <t xml:space="preserve">A Hybrid Machine Learning Approach for Securing Emails:Phishing Detection and Prevention</t>
  </si>
  <si>
    <t xml:space="preserve">2025 3rd International Conference on Advancements in Electrical, Electronics, Communication, Computing and Automation, ICAECA 2025</t>
  </si>
  <si>
    <t xml:space="preserve">10.1109/ICAECA63854.2025.11012305</t>
  </si>
  <si>
    <t xml:space="preserve">El problema es la detección de phishing; el NER se usa para validar entidades del correo.</t>
  </si>
  <si>
    <t xml:space="preserve">Correo / phishing</t>
  </si>
  <si>
    <t xml:space="preserve">Correos</t>
  </si>
  <si>
    <t xml:space="preserve">Exactitud de detección de phishing</t>
  </si>
  <si>
    <t xml:space="preserve">Email phishing is a cyberattack in which an attacker sends fraudulent emails that appear to be from legitimate sources. The intension of phishing attack is to deceive the recipient into disclosing sensitive information, such as passwords, credit card numbers, or personal information, or into clicking on malicious links or downloading malware. These emails frequently employ social engineering tactics to infuse a sense of urgency or fear in users, prompting them to take immediate action without verifying the message's authenticity. Phishing attacks continue to be a major security threat in email communication, necessitating advanced methods for detection. This paper introduces an innovative phishing detection email extension that integrates Neuro-Symbolic AI, Dynamic Contextual Analysis (DCA), and Memory-Augmented Neural Networks (MANNs) to effectively identify and block phishing attempts in real-time. The extension leverages a Neuro-Symbolic Hybrid Model(NSHM) that combines rule-based reasoning with deep learning to analyse email content and flag suspicious elements. Dynamic Contextual Analysis enhances the detection by evaluating sender behavior, metadata, and email timing to spot anomalies in email interactions. Additionally, Memory-Augmented Neural Networks allow the system to retain knowledge of past phishing patterns, enabling it to adapt to emerging and sophisticated phishing strategies. The email extension incorporates Named Entity Recognition (NER) to detect and validate key entities (such as organizations, URLs), and Domain Reputation Analysis to assess the legitimacy of links embedded in emails. To ensure transparency and user trust, explainability techniques like LIME (Local Interpretable Model-Agnostic Explanations) and SHAP (SHapley Additive exPlanations) are integrated, providing users with insights into why an email is classified as phishing. Experimental results show that this extension significantly improves phishing detection accuracy, reduces false positives, and provides an intuitive and secure user experience for real-time email protection. © 2025 IEEE.</t>
  </si>
  <si>
    <t xml:space="preserve">S021</t>
  </si>
  <si>
    <t xml:space="preserve">Dai J.; Li H.</t>
  </si>
  <si>
    <t xml:space="preserve">Pixel-Level Privacy Preserving in DICOM Anonymisation</t>
  </si>
  <si>
    <t xml:space="preserve">Lecture Notes of the Institute for Computer Sciences, Social-Informatics and Telecommunications Engineering, LNICST</t>
  </si>
  <si>
    <t xml:space="preserve">10.1007/978-3-032-14350-1_14</t>
  </si>
  <si>
    <t xml:space="preserve">Anonimización de DICOM con OCR y NER; la entrada es imagen.</t>
  </si>
  <si>
    <t xml:space="preserve">Imágenes médicas</t>
  </si>
  <si>
    <t xml:space="preserve">Archivos DICOM</t>
  </si>
  <si>
    <t xml:space="preserve">DICOM (Digital Imaging and Communications in Medicine) is a standard format for medical images, often containing sensitive patient information. To protect patient privacy, anonymizing DICOM files before sharing or storage is essential, this work introduces a novel DICOM medical image anonymization approach that employs Optical Character Recognition (OCR) to identify personally identifiable information (PII) within both tags and textual content embedded within images. By employing Named Entity Recognition (NER) techniques, the system accurately detects PII in textual data. The proposed method operates independently of metadata, enabling the anonymization of sensitive information in both tags and pixel-level image content. This approach can help efficient and automated anonymization of medical image files, significantly enhancing patient privacy. © ICST Institute for Computer Sciences, Social Informatics and Telecommunications Engineering 2026.</t>
  </si>
  <si>
    <t xml:space="preserve">S022</t>
  </si>
  <si>
    <t xml:space="preserve">Asiri S.; Alshehri R.; Kamran F.; Laznam H.; Xiao Y.; Alzahrani S.</t>
  </si>
  <si>
    <t xml:space="preserve">SPADR: A Context-Aware Pipeline for Privacy Risk Detection in Text Data</t>
  </si>
  <si>
    <t xml:space="preserve">Electronics (Switzerland)</t>
  </si>
  <si>
    <t xml:space="preserve">10.3390/electronics14183725</t>
  </si>
  <si>
    <t xml:space="preserve">Detecta riesgos explícitos y contextuales en correos con NER, autoencoder y grafos; fuente de la métrica de fuga residual.</t>
  </si>
  <si>
    <t xml:space="preserve">Correo corporativo</t>
  </si>
  <si>
    <t xml:space="preserve">Empresarial</t>
  </si>
  <si>
    <t xml:space="preserve">Enron Email Dataset</t>
  </si>
  <si>
    <t xml:space="preserve">Fuga residual de 100 % a 16,06 %; BERTScore F1 88,03 %</t>
  </si>
  <si>
    <t xml:space="preserve">Large language models (LLMs) are powerful, but they can unintentionally memorize and leak sensitive information found in their training or input data. To address this issue, we propose SPADR, a semantic privacy anomaly detection and remediation pipeline designed to detect and remove privacy risks from text. SPADR addresses limitations in existing redaction methods by identifying deeper forms of sensitive content, including implied relationships, contextual clues, and non-standard identifiers that traditional NER systems often overlook. SPADR combines semantic anomaly scoring using a denoising autoencoder with named entity recognition and graph-based analysis to detect both direct and hidden privacy risks. It is flexible enough to work on both training data (to prevent memorization) and user input (to prevent leakage at inference time). We evaluate SPADR on the Enron Email Dataset, where it significantly reduces document-level privacy leakage while maintaining strong semantic utility. The enhanced version, SPADR (S2), reduces the PII leak rate from 100% to 16.06% and achieves a BERTScore F1 of 88.03%. Compared to standard NER-based redaction systems, SPADR offers more accurate and context-aware privacy protection. This work highlights the importance of semantic and structural understanding in building safer, privacy-respecting AI systems. © 2025 by the authors.</t>
  </si>
  <si>
    <t xml:space="preserve">S023</t>
  </si>
  <si>
    <t xml:space="preserve">Gundaboina A.; Choudhry M.; Ramuloo V.A.S.; Banakar S.; Kumar A.</t>
  </si>
  <si>
    <t xml:space="preserve">An AI-Driven Privacy-Preserving Framework for Automated Legal Hold, Data Preservation, and Enterprise Data Compliance</t>
  </si>
  <si>
    <t xml:space="preserve">Journal of Intelligent Decision Making and Information Science</t>
  </si>
  <si>
    <t xml:space="preserve">10.59543/jidmis.v3.2085</t>
  </si>
  <si>
    <t xml:space="preserve">Retención legal en empresas con NER y privacidad diferencial; señalar datos sensibles es una función secundaria.</t>
  </si>
  <si>
    <t xml:space="preserve">Empresarial / cumplimiento</t>
  </si>
  <si>
    <t xml:space="preserve">Corpus empresarial de correos y documentos</t>
  </si>
  <si>
    <t xml:space="preserve">Exactitud 92,40 %; F1 91,59 %</t>
  </si>
  <si>
    <t xml:space="preserve">Identifying, preserving and governing electronically stored information (ESI) is a huge challenge for enterprise organizations in terms of legal-hold requirements, privacy regulations and data retention requirements. Compliance mechanisms currently in place are mostly based on manual review and pre-defined rules which delay preservation, lack consistency in legal relevance assessment, cause privacy exposure and raise overhead to the operations. The purpose of this research is to create an AI-based privacy preserving approach to automated legal hold, intelligent data preservation and enterprise compliance management. The proposed methodology enhances the existing methodology with a Privacy-Aware Legal Hold Intelligence (PALHI) algorithm that consists of concepts from transformer-based semantic classification, named-entity recognition, risk-aware policy reasoning, federated learning, and differential privacy. PALHI can be used to identify records that are relevant to litigation, to flag sensitive data, to prioritize records for preservation and to ensure the policy matches the context of the data. Experimental results show that performance, measured by the accuracy, precision, recall, F1-score and legal-hold detection rate, on a benchmark enterprise email and document corpus is 92.40%, 91.86%, 91.32%, 91.59% and 93.18%, respectively, with only 6.42% of false preservation decisions. The accuracy loss due to differential privacy (DP) at the level of ε=1.0 is only 2.16%. The novelty of the framework is that it is able to fuse together the concepts of relevance detection, distributed privacy preservation, and automated compliance reasoning at the same time, and do so in an intelligent manner. It provides an auditable, scalable way that decreases the compliance effort needed to do it manually and increases the reliability of preservation, confidentiality and responsiveness to regulatory requests.</t>
  </si>
  <si>
    <t xml:space="preserve">S024</t>
  </si>
  <si>
    <t xml:space="preserve">Kumar A.</t>
  </si>
  <si>
    <t xml:space="preserve">Designing Guardrails: Ensuring Responsible AI Behavior</t>
  </si>
  <si>
    <t xml:space="preserve">GenAI and LLMs for Beyond 5G Networks</t>
  </si>
  <si>
    <t xml:space="preserve">Book chapter</t>
  </si>
  <si>
    <t xml:space="preserve">10.1007/978-3-032-06418-9_5</t>
  </si>
  <si>
    <t xml:space="preserve">Capítulo sobre guardrails para IA generativa en empresas; menciona filtros de entrada con regex para evitar fuga de PII.</t>
  </si>
  <si>
    <t xml:space="preserve">Empresarial / LLM</t>
  </si>
  <si>
    <t xml:space="preserve">As generative AI rapidly integrates into enterprise ecosystems, the need for robust guardrails has become a critical concern for organizations seeking to leverage this powerful technology responsibly. This chapter provides a comprehensive framework for designing, implementing, and governing AI guardrails to ensure safety, fairness, control, and compliance in high-stakes business environments. The chapter begins by contextualizing the urgent need for responsible AI in enterprise settings, emphasizing risks such as hallucinations, bias, and privacy breaches. It highlights how unguarded generative AI systems can not only produce harmful outputs but also expose organizations to regulatory penalties, reputational damage, and operational inefficiencies. With regulations such as the EU Artificial Intelligence Act imposing strict governance requirements on high-risk AI applications, enterprises must adopt proactive measures to maintain compliance and public trust. The core of the chapter explores a multilayered approach to AI guardrails, encompassing technical, procedural, and human oversight mechanisms. At the technical level, input filtering (e.g., regex and ML classifiers), output validation (e.g., schema enforcement, toxicity detectors), and grounding with enterprise knowledge are emphasized as vital components in limiting model misbehavior. Reinforcement Learning from Human Feedback (RLHF) and constitutional AI techniques are explored as strategies to tune models toward ethical and organizational values. Tools such as Guardrails AI, PromptFoo, and Amazon Bedrock Guardrails provide tangible implementation pathways for enterprises. On the procedural side, the chapter outlines governance frameworks—policies, ethics committees, and compliance programs—that define roles and responsibilities across the AI lifecycle. It stresses the importance of policy-as-code to embed these rules into CI/CD workflows, enabling scalable and automated enforcement. A hybrid architecture combining automated enforcement with human-in-the-loop (HITL) mechanisms is advocated to catch edge cases and ensure nuanced decision-making where AI models fall short. Enterprise case studies provide compelling validation of these approaches. Banks have used real-time guardrails to prevent the leakage of personally identifiable information (PII), while healthcare providers rely on schema validators to filter out unsafe medical advice. These examples demonstrate not only reduced risk exposure and improved regulatory compliance but also tangible business value, such as faster audit readiness and enhanced customer trust. A key innovation discussed in the chapter is knowledge grounding through retrieval-augmented generation (RAG), which ties generative outputs to authoritative corporate sources. This technique significantly reduces hallucination rates and enables auditability—every output can be traced back to verifiable documents. Combined with output classifiers and HITL review, grounding transforms generative AI into a more trustworthy and explainable asset within the enterprise. The chapter also emphasizes measurable impact and continuous improvement as design principles for guardrails. Enterprises are encouraged to monitor metrics such as guardrail trigger counts, hallucination frequency, and fairness indices. Tools like MLflow, Evidently AI, and OpenLineage facilitate comprehensive auditing and traceability across model training and inference. These mechanisms support iterative guardrail refinement, aligning with the National Institute of Standards and Technology (NIST) AI Risk Management Framework’s “Measure” and “Manage” functions. Finally, the chapter outlines governance best practices and organizational structures to support responsible AI. From the Chief AI Ethics Officer to compliance managers and ML engineers, each role has a defined stake in ensuring that generative AI operates within safe, legal, and ethical boundaries. Global regulations, including the EU AI Act, U.S. agency guidelines, and China’s Interim Measures, are discussed to provide readers with an international compliance perspective. In conclusion, this chapter offers enterprise leaders, AI practitioners, and policy advocates a blueprint for operationalizing responsible AI through layered guardrails. It equips organizations with the tools, strategies, and governance models necessary to mitigate risks, maximize business value, and build stakeholder trust in the age of generative AI. As organizations scale AI across functions, these guardrails serve not as constraints but as enablers—empowering safe, innovative, and resilient AI adoption across industries. © The Editor(s) (if applicable) and The Author(s), under exclusive license to Springer Nature Switzerland AG 2026.</t>
  </si>
  <si>
    <t xml:space="preserve">S025</t>
  </si>
  <si>
    <t xml:space="preserve">Abbas A.; Kovatchev V.; Lee M.; Shanavas N.; Ali M.</t>
  </si>
  <si>
    <t xml:space="preserve">Harnessing Open-Source LLMs for Tender Named Entity Recognition</t>
  </si>
  <si>
    <t xml:space="preserve">International Conference Recent Advances in Natural Language Processing, RANLP</t>
  </si>
  <si>
    <t xml:space="preserve">10.26615/978-954-452-098-4-001</t>
  </si>
  <si>
    <t xml:space="preserve">NER de entidades de licitaciones; la privacidad motiva usar LLM locales, pero no se detecta información sensible.</t>
  </si>
  <si>
    <t xml:space="preserve">Contratación pública</t>
  </si>
  <si>
    <t xml:space="preserve">Licitaciones de Singapur y Siemens</t>
  </si>
  <si>
    <t xml:space="preserve">F1 &gt; 85 %</t>
  </si>
  <si>
    <t xml:space="preserve">In the public procurement domain, extracting accurate tender entities from unstructured text remains a critical, less explored challenge, because tender data is highly sensitive and confidential, and not available openly. Previously, state-of-the-art NLP models were developed for this task; however developing an NER model from scratch required huge amounts of data and resources. Similarly, performing fine-tuning of a transformer-based model like BERT requires training data, as a result posing challenges in training data cost, model generalization, and data privacy. To address these challenges, an emerging LLM such as GPT-4 in a Few-shot learning environment achieves SOTA performance comparable to fine-tuned models. However, being dependent on the closed-source commercial LLMs involves high cost and privacy concerns. In this study, we have investigated open-source LLMs like Mistral and LLAMA-3, focusing on the tender domain for the NER tasks on local consumer-grade CPUs in three different environments: Zero-shot, One-shot, and Few-shot learning. The motivation is to efficiently lessen costs compared to a cloud solution while preserving accuracy and data privacy. Similarly, we have utilized two datasets open-source from Singapore and closed-source commercially sensitive data provided by Siemens. As a result, all the open-source LLMs achieve above 85% F1-score on an open-source dataset and above 90% F1-score on a closed-source dataset. © 2025 Incoma Ltd. All rights reserved.</t>
  </si>
  <si>
    <t xml:space="preserve">S026</t>
  </si>
  <si>
    <t xml:space="preserve">Gorskis H.; Strebko J.; Korņijenko J.; Zabiņako V.; Romanovs A.</t>
  </si>
  <si>
    <t xml:space="preserve">A Hybrid Approach to the Automatic Detection of Personal Data in Latvian-Language Texts</t>
  </si>
  <si>
    <t xml:space="preserve">Future Internet</t>
  </si>
  <si>
    <t xml:space="preserve">10.3390/fi18070354</t>
  </si>
  <si>
    <t xml:space="preserve">NER multilingüe con reglas para identificadores estructurados en comunicaciones empresariales; referente más cercano al escenario de este trabajo.</t>
  </si>
  <si>
    <t xml:space="preserve">Empresarial (Teams, correo, documentos)</t>
  </si>
  <si>
    <t xml:space="preserve">Letón</t>
  </si>
  <si>
    <t xml:space="preserve">Mensajes, correos y documentos en letón</t>
  </si>
  <si>
    <t xml:space="preserve">In the modern world, hybrid and fully remote work formats are becoming increasingly widespread. The volume of digital communication continues to grow, and the need to exchange documents and information through email, corporate messengers (such as Microsoft Teams), and collaborative workspaces is rising. Personal data is often involved in these exchanges, which increases the risk of unintentional disclosure. To comply with GDPR requirements and ensure information security, it is necessary to implement methods for the automatic detection of personal data. This task is particularly relevant for low-resource languages, such as Latvian, for which existing tools often operate with limited accuracy and efficiency. This work proposes a hybrid approach to the automatic detection of personal data in Latvian texts from Microsoft Teams messages, emails, and documents, combining a transformer-based NER model with rule-based detection of structured identifiers. The approach builds on a multilingual NER model, supplements it with Latvian-specific rules and structured-identifier detectors, and demonstrates the potential of adapted solutions to improve the accuracy and robustness of personal-data detection in real-world workflows. © 2026 by the authors.</t>
  </si>
  <si>
    <t xml:space="preserve">S027</t>
  </si>
  <si>
    <t xml:space="preserve">Rai A.; Ali M.L.; Ur Rahim M.A.; Zaid M.; Jena P.; Bagaria R.</t>
  </si>
  <si>
    <t xml:space="preserve">Hybrid Contextual PII Redaction: An LLM-Regex System for Diverse Digital Assets</t>
  </si>
  <si>
    <t xml:space="preserve">Proceedings of the 4th IEEE International Conference on Interdisciplinary Approaches in Technology and Management for Social Innovation, IATMSI 2026</t>
  </si>
  <si>
    <t xml:space="preserve">10.1109/IATMSI68868.2026.11466036</t>
  </si>
  <si>
    <t xml:space="preserve">Combina LLM, regex para identificadores estructurados y NER de spaCy; supera a los enfoques de un solo método.</t>
  </si>
  <si>
    <t xml:space="preserve">Documentos y archivos</t>
  </si>
  <si>
    <t xml:space="preserve">PDF, Word, CSV, JSON, imágenes</t>
  </si>
  <si>
    <t xml:space="preserve">Exactitud frente a enfoques de un solo método</t>
  </si>
  <si>
    <t xml:space="preserve">The proliferation of digital data necessitates robust and automated solutions for Personally Identifiable Information (PII) protection, driven by regulatory mandates such as the General Data Protection Regulation (GDPR) and the California Consumer Privacy Act (CCPA). Traditional, manual, or purely rule-based redaction methods are inherently prone to error and fail to scale effectively for large, diverse datasets. This paper presents the Hybrid PII Detection Engine (HPDE), an intelligent, automated tool designed to accurately redact PII from a wide range of file formats, including images, portable document formats (PDFs), Microsoft Word documents (.docx), comma-separated values (CSV), and JavaScript object notation (JSON) files. The HPDE integrates a multi-layered detection strategy: it leverages the advanced contextual understanding of the Google Gemini Pro Large Language Model (LLM) for high-accuracy identification of ambiguous entities, supplementing this with deterministic Regular Expressions (Regex) for structured PII (e.g., Aadhaar, PAN) and efficient 1 ocal N amed Entity R ecognition (NER) using the spaCy library (specifically the e n_core_web_sm model). The system's backend is implemented using the robust Python Django framework. Furthermore, the paper details file-specific redaction techniques, incorporating Optical Character Recognition (OCR) via PyTesseract for handling text in image-based files and crucial security features such as metadata wiping (utilizing PIL, PyMuPDF, and python-docx) and verifiable watermarking (implemented via OpenCV and PyMuPDF). Benchmarking results confirm that the HPDE a chieves s uperior a ccuracy and versatility compared to conventional single-method approaches.  © 2026 IEEE.</t>
  </si>
  <si>
    <t xml:space="preserve">S028</t>
  </si>
  <si>
    <t xml:space="preserve">Naresh P.; Kushwaha S.; Prabudh S.; Eligar S.S.; Nethravathi V.; Radhika K.</t>
  </si>
  <si>
    <t xml:space="preserve">BharatPII Shield: An Intelligent System for Real-Time Detection and Protection of Indian Personally Identifiable Information</t>
  </si>
  <si>
    <t xml:space="preserve">7th International Conference on Inventive Research in Computing Applications, ICIRCA 2026 - Proceedings</t>
  </si>
  <si>
    <t xml:space="preserve">10.1109/ICIRCA69024.2026.11570613</t>
  </si>
  <si>
    <t xml:space="preserve">Extensión de navegador que detecta identificadores indios en el dispositivo antes de enviarlos; análogo a la protección previa al envío.</t>
  </si>
  <si>
    <t xml:space="preserve">Gobierno / identidad</t>
  </si>
  <si>
    <t xml:space="preserve">Multilingüe (India)</t>
  </si>
  <si>
    <t xml:space="preserve">650 documentos sintéticos</t>
  </si>
  <si>
    <t xml:space="preserve">Exactitud 93,3 %; falsos positivos &lt; 4 %; &lt; 1 s</t>
  </si>
  <si>
    <t xml:space="preserve">The rapid shift of India toward digital-first governance and digital financial services has created an emergency situation which requires immediate action because people unintentionally disclose their sensitive Personally Identifiable Information (PII)including Aadhaar numbers and Permanent Account Numbers (PAN)and Driving License details and Voter IDs and phone numbers and email addresses and financial instrument numbers and online document submissions and web form interactions. Most digital workflows require users to upload their documents because this method depends on post-upload server-side validation which leads to data leakage during user action. The existing global PII protection tools create an additional problem because they provide almost no assistance to Indian government-issued identifier formats and structured alphanumeric patterns and multilingual scripts which appear on Indian identity documents. The research introduces BharatPII Shield which functions as a privacy-protecting browser extension that operates on users' devices to process text through Tesseract OCR while identifying sensitive identity data using its specialized regex processing system. The system architecture consists of five interconnected modules which include an OCR Processing Module that uses intelligent image preprocessing and a PII Detection Engine which identifies both Indian and standard identifiers and a Risk Assessment Engine that evaluates document sensitivity through three levels and a Selective Redaction Engine which enables full masking partial masking and token-based replacement and a Chrome Extension Integration layer which functions as a client-side firewall. The empirical evaluation used a dataset of 650 synthetic documents from multiple sources to assess the system. The project results demonstrate a detection accuracy of 93.3% across three document types which include Aadhaar and PAN and Driving License documents. The system achieves an OCR accuracy rate of about 92% for identity documents which contain printed text. The system produces false positive results at a rate which stays below 4%. The system maintains response times which never exceed one second thus fulfilling requirements for real-time use. The system functions completely on user devices while using AES-256 and Fernet encryption methods without needing to send any document information to the cloud. © 2026 IEEE.</t>
  </si>
  <si>
    <t xml:space="preserve">S029</t>
  </si>
  <si>
    <t xml:space="preserve">Elbarbary O.; Rasslan M.; El Bolock A.; Sabty C.</t>
  </si>
  <si>
    <t xml:space="preserve">Hybrid AI for Arabic Sensitive Data Detection: Enhancing Privacy Compliance in Egypt</t>
  </si>
  <si>
    <t xml:space="preserve">International Journal of Safety and Security Engineering</t>
  </si>
  <si>
    <t xml:space="preserve">10.18280/ijsse.150602</t>
  </si>
  <si>
    <t xml:space="preserve">BERT más reglas para identificadores rígidos (ID nacional, IP, MAC, teléfono); el híbrido supera a cada estrategia sola.</t>
  </si>
  <si>
    <t xml:space="preserve">Gobierno / general</t>
  </si>
  <si>
    <t xml:space="preserve">Árabe</t>
  </si>
  <si>
    <t xml:space="preserve">Texto árabe y datos estructurados</t>
  </si>
  <si>
    <t xml:space="preserve">F1 92 %</t>
  </si>
  <si>
    <t xml:space="preserve">We present a hybrid framework that combines BERT-based Named Entity Recognition with rule-based detectors for rigid identifiers (e.g., national IDs, IP/MAC addresses, phone numbers) and excludes these patterns from embedding-based classifiers on structured data. On unstructured Arabic text, our hybrid system achieves an F1 of 92%. In the structured setting, isolating formatted fields increases average F1 from 87% to 88%, with BiLSTM delivering the best performance. These results demonstrate that integrating deep contextual models with deterministic rules extends coverage of legally defined formats and outperforms single-strategy approaches. Future work will focus on developing a custom Arabic sensitive-entity corpus, validating on real datasets, and adding anonymization and encryption modules. ©2025 The authors.</t>
  </si>
  <si>
    <t xml:space="preserve">S030</t>
  </si>
  <si>
    <t xml:space="preserve">Alshamrani H.A.; Alnahari M.</t>
  </si>
  <si>
    <t xml:space="preserve">Token-Level PII Detection with Symbolic, Sequential, and Transformer-Based Ensemble Models</t>
  </si>
  <si>
    <t xml:space="preserve">International Journal of Advanced Computer Science and Applications</t>
  </si>
  <si>
    <t xml:space="preserve">10.14569/IJACSA.2026.0170653</t>
  </si>
  <si>
    <t xml:space="preserve">Ensamble de reglas, diccionarios, CRF, BiLSTM y transformers; muestra la caída fuera de dominio.</t>
  </si>
  <si>
    <t xml:space="preserve">General y financiero</t>
  </si>
  <si>
    <t xml:space="preserve">Financiero</t>
  </si>
  <si>
    <t xml:space="preserve">ai4privacy pii-masking-43k, documentos financieros de Mendeley</t>
  </si>
  <si>
    <t xml:space="preserve">F1 ponderado 0,975; 0,843 fuera de dominio</t>
  </si>
  <si>
    <t xml:space="preserve">The rapid increase in unstructured digital information has led to an urgent demand for effective systems for safeguarding Personally Identifiable Information (PII) across multiple sectors and application domains. Existing single-model approaches frequently fail to resolve entity-type ambiguity in unstructured text, particularly when a token's PII status is context-dependent rather than syntactically predictable. This study presents EnsemblePII, a weighted voting ensemble that combines rule-based patterns, dictionary matching, Conditional Random Fields, Bi-LSTM sequence models, and transformerbased token classification. The ensemble applies a class-specific weighted voting strategy in which each model's per-entity influence is proportional to its per-class F1-score on a held-out validation set. The approach is assessed by using the ai4privacy/pii-masking-43k data set and the Mendeley Synthetic Financial Documents data set. EnsemblePII achieves a weighted F1 of 0.9749 on the general-purpose HF test set, marginally exceeding the strongest individual component (DistilBERT, F1 = 0.9744) on the in-distribution evaluation, and outperforming a published entity-span-level hybrid baseline by over 6 percentage points on the multi-class token-level task. On the Mendeley financial test set, Bi-LSTM and DistilBERT achieve F1 scores of 0.9959 and 0.9703, respectively, while the ensemble records 0.8433, revealing calibration sensitivity to entity classes absent from the weight calibration corpus. The results indicate that ensemblebased PII detection can improve in-distribution performance, but stable cross-domain generalization requires domain-aware calibration of ensemble weights; the DistilBERT component achieves the highest average F1 (0.9724) across both test sets, underscoring the value of transformer-based models for crossdomain PII detection. © (2026), (Science and Information Organization). All right reserved.</t>
  </si>
  <si>
    <t xml:space="preserve">S031</t>
  </si>
  <si>
    <t xml:space="preserve">Sopkovič K.; Kupcová E.; Hládek D.; Pleva M.</t>
  </si>
  <si>
    <t xml:space="preserve">Efficient Acronymization of Sensitive Data Using Generative Models Fine-Tuned on LLM-Augmented Data</t>
  </si>
  <si>
    <t xml:space="preserve">Proceedings of the International Conference Radioelektronika, RADIOELEKTRONIKA</t>
  </si>
  <si>
    <t xml:space="preserve">10.1109/RADIOELEKTRONIKA65656.2025.11008388</t>
  </si>
  <si>
    <t xml:space="preserve">Reemplaza datos sensibles por acrónimos con un T5 entrenado con datos generados por LLM, para conservar utilidad.</t>
  </si>
  <si>
    <t xml:space="preserve">General</t>
  </si>
  <si>
    <t xml:space="preserve">Datos aumentados con LLM</t>
  </si>
  <si>
    <t xml:space="preserve">Supera a modelos NER</t>
  </si>
  <si>
    <t xml:space="preserve">Data privacy is crucial today, especially with regulations such as GDPR. Data anonymization is key, but common methods often reduce data value. This paper explores the acronymization process, which replaces sensitive data with abbreviations, as a way to balance protection and data usability. We propose a new approach: using large language models (LLMs) to create training data for a T5 model, which we then fine-tune for acronymizing sensitive data. The results show that this method, especially when using LLMs like Gemma-9B-IT to augment the data, achieves promising results and outperforms existing Named Entity Recognition (NER) models in the specific task of acronymization. This offers a more efficient and scalable solution for anonymizing text data, contributing to both privacy protection and preserving the utility of data for analysis and research.  © 2025 IEEE.</t>
  </si>
  <si>
    <t xml:space="preserve">S032</t>
  </si>
  <si>
    <t xml:space="preserve">Beltrame M.; Conti M.; Guglielmin P.; Marchiori F.; Orazi G.</t>
  </si>
  <si>
    <t xml:space="preserve">RedactBuster: Entity Type Recognition from Redacted Documents</t>
  </si>
  <si>
    <t xml:space="preserve">Lecture Notes in Computer Science (including subseries Lecture Notes in Artificial Intelligence and Lecture Notes in Bioinformatics)</t>
  </si>
  <si>
    <t xml:space="preserve">10.1007/978-3-031-70890-9_23</t>
  </si>
  <si>
    <t xml:space="preserve">Ataque que infiere el tipo de entidad redactada a partir del contexto; usa TAB y propone una contramedida.</t>
  </si>
  <si>
    <t xml:space="preserve">Documentos redactados</t>
  </si>
  <si>
    <t xml:space="preserve">Text Anonymization Benchmark (TAB)</t>
  </si>
  <si>
    <t xml:space="preserve">Exactitud hasta 0,985</t>
  </si>
  <si>
    <t xml:space="preserve">The widespread exchange of digital documents in various domains has resulted in abundant private information being shared. This proliferation necessitates redaction techniques to protect sensitive content and user privacy. While numerous redaction methods exist, their effectiveness varies, with some proving more robust than others. As such, the literature proposes several deanonymization techniques, raising awareness of potential privacy threats. However, while none of these methods are successful against the most effective redaction techniques, these attacks only focus on the anonymized tokens and ignore the sentence context. In this paper, we propose RedactBuster, the first deanonymization model using sentence context to perform Named Entity Recognition on redacted text. Our methodology leverages fine-tuned state-of-the-art Transformers and Deep Learning models to determine the anonymized entity types in a document. We test RedactBuster against the most effective redaction technique and evaluate it using the publicly available Text Anonymization Benchmark (TAB). Our results show accuracy values up to 0.985 regardless of the document nature or entity type. In raising awareness of this privacy issue, we propose a countermeasure we call character evasion that helps strengthen the secrecy of sensitive information. Furthermore, we make our model and testbed open-source to aid researchers and practitioners in evaluating the resilience of novel redaction techniques and enhancing document privacy. © The Author(s), under exclusive license to Springer Nature Switzerland AG 2024.</t>
  </si>
  <si>
    <t xml:space="preserve">S033</t>
  </si>
  <si>
    <t xml:space="preserve">Godbole S.; Bhabire R.; Gavali Y.; Shende P.; Pandit P.; Yenkikar A.</t>
  </si>
  <si>
    <t xml:space="preserve">AI Shredder: OCR and BERT-Driven Intelligent Document Redaction with Security Classification</t>
  </si>
  <si>
    <t xml:space="preserve">2026 International Conference on Emerging Smart Computing and Informatics, ESCI 2026</t>
  </si>
  <si>
    <t xml:space="preserve">10.1109/ESCI68015.2026.11493218</t>
  </si>
  <si>
    <t xml:space="preserve">OCR, regex y BERT con puntaje de riesgo por documento; la entrada es imagen, pero aporta la idea de clasificar por nivel de riesgo.</t>
  </si>
  <si>
    <t xml:space="preserve">Documentos escaneados</t>
  </si>
  <si>
    <t xml:space="preserve">2.000 imágenes de RVL-CDIP con 4.847 entidades</t>
  </si>
  <si>
    <t xml:space="preserve">Exactitud 79,65 %; F1 0,794; kappa 0,91 en nivel de riesgo</t>
  </si>
  <si>
    <t xml:space="preserve">In enterprise, healthcare and legal sectors, secure document management is highly important. Manual redaction and masking by keywords are tedious and lack situational sensitivities. We introduce AI Shredder, the first combination of deep learning code that is built on top of an Optical Character Recognition (OCR), Regex patterns matching, Named Entities Recognition (NER), and transformed by BERT based networks into one unified pipeline. The new addition is a coherent combination of various detection modalities (OCR+ Regex structured entities; BERT contextual PII) with a risk-scoring system that allows making a clear classification by the level of risk: Low Confidentiality (risk score 0.35 or below), High Confidentiality (0.35 to 0.70), and Top Secret (0.70 and over). This justifiable method is in contrast to closed-box redaction systems. The system was tested on 2000 manually annotated RVLCDIP document images (125 per class, 4,847 entity-level annotations) with a accuracy of 79.65 and F1-score of 0.7940 and security-level agreement of 94.2% (Kappa: 0.91). Per-category analysis demonstrates good results with the structured documents (forms: 86.36, invoices: 86.79, budgets: 87.12) and indicates difficulties with the handwritten material (64.94%). The modular architecture is auditable with detailed redaction logs and can be used as a tool to meet the requirements of GDPR/HIPAA. © 2026 IEEE.</t>
  </si>
  <si>
    <t xml:space="preserve">S034</t>
  </si>
  <si>
    <t xml:space="preserve">Kocaman V.; Mellah Y.; Ul Haq H.; Talby D.</t>
  </si>
  <si>
    <t xml:space="preserve">Automated De-Identification of Arabic Medical Records</t>
  </si>
  <si>
    <t xml:space="preserve">ArabicNLP 2023 - 1st Arabic Natural Language Processing Conference, Proceedings</t>
  </si>
  <si>
    <t xml:space="preserve">BERT y BiLSTM-CNN con un analizador contextual para las entidades que el modelo omite.</t>
  </si>
  <si>
    <t xml:space="preserve">i2b2 2014 traducido al árabe</t>
  </si>
  <si>
    <t xml:space="preserve">F1 micro 0,94–0,98 en 17 entidades</t>
  </si>
  <si>
    <t xml:space="preserve">As Electronic Health Records (EHR) become ubiquitous in healthcare systems worldwide, including in Arabic-speaking countries, the dual imperative of safeguarding patient privacy and leveraging data for research and quality improvement grows. This paper presents a first-of-its-kind automated de-identification pipeline for medical text specifically tailored for the Arabic language. This includes accurate medical Named Entity Recognition (NER) for identifying personal information; data obfuscation models to replace sensitive entities with fake entities; and an implementation that natively scales to large datasets on commodity clusters. This research makes two contributions. First, we adapt two existing NER architectures—BERT For Token Classification (BFTC) and BiLSTM-CNN-Char – to accommodate the unique syntactic and morphological characteristics of the Arabic language. Comparative analysis suggests that BFTC models outperform Bi-LSTM models, achieving higher F1 scores for both identifying and redacting personally identifiable information (PII) from Arabic medical texts. Second, we augment the deep learning models with a contextual parser engine to handle commonly missed entities. Experiments show that the combined pipeline demonstrates superior performance with micro F1 scores ranging from 0.94 to 0.98 on the test dataset, which is a translated version of the i2b2 2014 de-identification challenge, across 17 sensitive entities. This level of accuracy is in line with that achieved with manual de-identification by domain experts, suggesting that a fully automated and scalable process is now viable. © 2023 Association for Computational Linguistics.</t>
  </si>
  <si>
    <t xml:space="preserve">S035</t>
  </si>
  <si>
    <t xml:space="preserve">Schultenkämper S.; Bäumer F.S.</t>
  </si>
  <si>
    <t xml:space="preserve">Privacy Risks in German Patient Forums: A NER-Based Approach to Enrich Digital Twins</t>
  </si>
  <si>
    <t xml:space="preserve">10.1007/978-3-031-48981-5_9</t>
  </si>
  <si>
    <t xml:space="preserve">Usa NER para extraer datos de salud y mostrar el riesgo de agregación; es un análisis de riesgo, no un mecanismo de protección.</t>
  </si>
  <si>
    <t xml:space="preserve">Salud / foros</t>
  </si>
  <si>
    <t xml:space="preserve">Alemán</t>
  </si>
  <si>
    <t xml:space="preserve">Foros de pacientes en alemán</t>
  </si>
  <si>
    <t xml:space="preserve">P 0,867; R 0,963; F1 0,912</t>
  </si>
  <si>
    <t xml:space="preserve">The online sharing of personal health data by individuals has raised privacy concerns. This paper presents a Named Entity Recognition (NER)-based analysis to detect potential privacy risks in German patient forums. The objective is to extract sensitive information from user-generated texts and augment existing digital profiles of users to demonstrate the potential threats posed by the aggregation of information. To achieve this, we trained a NER model on a large corpus of German patient forum texts and evaluated its performance using standard metrics. The results show that the NER model can effectively extract health-related information from German texts with a micro-average precision of 0.8666, a recall of 0.9633 and an F1-score of 0.9124. This enables the creation of Digital Twins that accurately reflect the health-related characteristics of individuals. However, when this information is combined with data from different platforms, it poses a potential threat to users’ privacy and underlines the need to warn users. © 2024, The Author(s), under exclusive license to Springer Nature Switzerland AG.</t>
  </si>
  <si>
    <t xml:space="preserve">S036</t>
  </si>
  <si>
    <t xml:space="preserve">Ngo P.D.; Tejedor M.; Svenning T.O.; Chomutare T.; Budrionis A.; Dalianis H.</t>
  </si>
  <si>
    <t xml:space="preserve">Deidentifying a Norwegian clinical corpus - An effort to create a privacy-preserving Norwegian large clinical language model</t>
  </si>
  <si>
    <t xml:space="preserve">CALD-pseudo 2024 - Workshop on Computational Approaches to Language Data Pseudonymization, Proceedings of the Workshop</t>
  </si>
  <si>
    <t xml:space="preserve">Desidentificación y seudonimización con NorDeid, ampliado con regex para tipos específicos.</t>
  </si>
  <si>
    <t xml:space="preserve">Noruego</t>
  </si>
  <si>
    <t xml:space="preserve">Nueve millones de notas clínicas</t>
  </si>
  <si>
    <t xml:space="preserve">This study discusses the methods and challenges of deidentifying and pseudonymizing Norwegian clinical text for research purposes. The results of the NorDeid tool for deidentification and pseudonymization on different types of protected health information were evaluated and discussed, as well as the extension of its functionality with regular expressions to identify specific types of sensitive information. This research used a clinical corpus of adult patients treated in a gastro-surgical department in Norway, which contains approximately nine million clinical notes. The study also highlights the challenges posed by the unique language and clinical terminology of Norway and emphasizes the importance of protecting privacy and the need for customized approaches to meet legal and research requirements. ©2024 Association for Computational Linguistics.</t>
  </si>
  <si>
    <t xml:space="preserve">S037</t>
  </si>
  <si>
    <t xml:space="preserve">Mancera G.; Morales A.; Fierrez J.; Tolosana R.; Peña A.; Lopez-Duran M.; Jurado F.; Ortigosa A.</t>
  </si>
  <si>
    <t xml:space="preserve">PBa-LLM: Privacy- and Bias-Aware NLP Using Named-Entity Recognition (NER)</t>
  </si>
  <si>
    <t xml:space="preserve">Lecture Notes in Computer Science</t>
  </si>
  <si>
    <t xml:space="preserve">10.1007/978-3-032-09368-4_1</t>
  </si>
  <si>
    <t xml:space="preserve">Compara anonimizadores basados en Presidio, FLAIR, BERT y GPT y mide su efecto sobre la tarea; útil como antecedente de Presidio.</t>
  </si>
  <si>
    <t xml:space="preserve">Recursos humanos / hojas de vida</t>
  </si>
  <si>
    <t xml:space="preserve">24.000 perfiles de candidatos</t>
  </si>
  <si>
    <t xml:space="preserve">Desempeño de la tarea de puntuación</t>
  </si>
  <si>
    <t xml:space="preserve">The use of Natural Language Processing (NLP) in high-stakes AI-based applications has increased significantly in recent years, especially since the emergence of Large Language Models (LLMs). However, despite their strong performance, LLMs introduce important legal/ethical concerns, particularly regarding privacy, data protection, and transparency. Due to these concerns, this work explores the use of Named-Entity Recognition (NER) to facilitate the privacy-preserving training (or adaptation) of LLMs. We propose a framework that uses NER technologies to anonymize sensitive information in text data, such as personal identities or geographic locations. An evaluation of the proposed privacy-preserving learning framework was conducted to measure its impact on user privacy and system performance in a particular high-stakes and sensitive setup: AI-based resume scoring for recruitment processes. The study involved two language models (BERT and RoBERTa) and six anonymization algorithms (based on Presidio, FLAIR, BERT, and different versions of GPT) applied to a database of 24,000 candidate profiles. The findings indicate that the proposed privacy preservation techniques effectively maintain system performance while playing a critical role in safeguarding candidate confidentiality, thus promoting trust in the experimented scenario. On top of the proposed privacy-preserving approach, we also experiment applying an existing approach that reduces the gender bias in LLMs, thus finally obtaining our proposed Privacy- and Bias-aware LLMs (PBa-LLMs). Note that the proposed PBa-LLMs have been evaluated in a particular setup (resume scoring), but are generally applicable to any other LLM-based AI application. © The Author(s), under exclusive license to Springer Nature Switzerland AG 2026.</t>
  </si>
  <si>
    <t xml:space="preserve">S038</t>
  </si>
  <si>
    <t xml:space="preserve">Nandhini Priya P.; Philip T.; Yazhini K.; Chandrika R.R.</t>
  </si>
  <si>
    <t xml:space="preserve">Design and Implementation of an Automated PII Detection System using DeBERTaV2 and NLP</t>
  </si>
  <si>
    <t xml:space="preserve">Proceedings of the 2026 6th International Conference on Image Processing and Capsule Networks, ICIPCN 2026</t>
  </si>
  <si>
    <t xml:space="preserve">10.1109/ICIPCN67432.2026.11438673</t>
  </si>
  <si>
    <t xml:space="preserve">Compara cinco transformers para PII; DeBERTaV2 obtiene el mejor resultado.</t>
  </si>
  <si>
    <t xml:space="preserve">Educación / investigación</t>
  </si>
  <si>
    <t xml:space="preserve">Exactitud cercana a 96 %; P, R y F1</t>
  </si>
  <si>
    <t xml:space="preserve">This project focuses on the development and implementation of an intelligent system that automatically detects and removes Personally Identifiable Information (PII) from textual data using advanced Natural Language Processing (NLP) and deep learning techniques. The proposed model employs the DeBERTaV2 transformer, an enhanced version of BERT, fine-tuned for token classification and Named Entity Recognition (NER) tasks. The system identifies sensitive information such as names, emails, addresses, and phone numbers while ensuring data privacy and maintaining semantic consistency. Python and Streamlit are used for system development, providing an interactive interface for text analysis and redaction. To validate performance, multiple deep learning models - BERT, RoBERTa, DistilBERT, ALBERT, and DeBERTaV2 - were compared using precision, recall, F1-score, and accuracy metrics. The results demonstrate that DeBERTaV2 outperforms other transformer-based models, achieving an overall accuracy of 96context-aware PII detection significantly improves data protection and reduces the need for manual intervention, supporting secure data handling in educational and research domains. © 2026 IEEE.</t>
  </si>
  <si>
    <t xml:space="preserve">S039</t>
  </si>
  <si>
    <t xml:space="preserve">Abhijith B.; Vanama B.; Reddy P.V.; Harini K.; Bhavana C.</t>
  </si>
  <si>
    <t xml:space="preserve">RE-DACT: An Intelligent Multi-Modal Automated Redaction System</t>
  </si>
  <si>
    <t xml:space="preserve">Proceedings of the 3rd International Conference on Innovations in Cybersecurity and Data Science, ICICDS 2026</t>
  </si>
  <si>
    <t xml:space="preserve">10.1109/ICICDS70526.2026.11604798</t>
  </si>
  <si>
    <t xml:space="preserve">Dos capas: regex para 11 identificadores estructurados y spaCy para entidades contextuales; respalda asignar el detector por tipo.</t>
  </si>
  <si>
    <t xml:space="preserve">Documentos (India)</t>
  </si>
  <si>
    <t xml:space="preserve">PDF en inglés</t>
  </si>
  <si>
    <t xml:space="preserve">F1 98,4–100 % (regex); 74,2–83,7 % (NER)</t>
  </si>
  <si>
    <t xml:space="preserve">India generates enormous volumes of documents daily across healthcare, legal, banking, human resources, and government sectors. Each document frequently contains sensitive Personally Identifiable Information (PII) including Aadhaar numbers, PAN cards, Voter IDs, IFSC codes, UPI handles, and bank account details. Before these documents are shared for audits, court submissions, or inter-departmental exchange they must be redacted to protect individual privacy and comply with the Digital Personal Data Protection (DPDP) Act 2023, the Aadhaar Act 2016, and RBI Master Directions. RE-DACT is a fullstack, AI-powered document redaction platform that automatically detects and permanently removes PII from PDF documents with specific focus on Indian identifier formats. The platform implements a two-layer detection engine: a pure-regex Layer 1 for eleven structured Indian identifiers achieving F1 scores of 98.4-100 %, and a spaCy en_core_web_lg transformerbased NER Layer 2 for unstructured entities (PERSON, ADDRESS, ORG, DATE) achieving 7 4. 2 - 8 3. 7 % F1. Detected entities are permanently removed at the byte level using PyMuPDF's apply_redactions() making recovery forensically impossible. The system is built on a microservices architecture comprising a React frontend, Node.js/Express backend, Python/FastAPI NLP sidecar, Node.js worker service, MongoDB with GridFS, RabbitMQ job queue, and Redis status cache all orchestrated via Docker Compose. A four-stage document lifecycle (Queued → Processing → Review → Done) enforces mandatory human-in-the-loop approval required for legal compliance. Seven domain presets (General, Legal, Medical, Finance, HR, Government, Research) enable context-appropriate entity activation. The current implementation targets English-language PDF documents; extension to Indic scripts is identified as the primary direction for future work. © 2026 IEEE.</t>
  </si>
  <si>
    <t xml:space="preserve">S040</t>
  </si>
  <si>
    <t xml:space="preserve">Azmi F.; Tong R.</t>
  </si>
  <si>
    <t xml:space="preserve">LLM-Enhanced Spoken Named Entity Recognition Leveraging ASR N-Best Hypotheses</t>
  </si>
  <si>
    <t xml:space="preserve">Proceedings of 2025 International Conference on Asian Language Processing, IALP 2025</t>
  </si>
  <si>
    <t xml:space="preserve">10.1109/IALP68296.2024.11156876</t>
  </si>
  <si>
    <t xml:space="preserve">Corrige errores del ASR con un LLM antes de etiquetar PII; la entrada es audio.</t>
  </si>
  <si>
    <t xml:space="preserve">Habla en inglés</t>
  </si>
  <si>
    <t xml:space="preserve">F1 de etiquetado de PII</t>
  </si>
  <si>
    <t xml:space="preserve">Identifying Personally Identifiable Information (PII) from spoken documents is crucial for privacy preservation in speech processing. Unlike written text, spoken language exhibits greater variability due to factors such as accent, emotion, hesitation, and vocabulary choice, which can complicate PII detection. A standard approach involves using Automatic Speech Recognition (ASR) followed by Named Entity Recognition (NER) to identify PII from speech input. However, the accuracy of ASR is pivotal for effective PII discovery, and the inherent complexities of speech production can lead to ASR errors, hindering PII detection. To address this limitation, we propose a novel method that integrates an LLM-based module after ASR to perform error correction and PII tagging, leveraging the richer contextual information available in the n-best outputs from the ASR system. We systematically investigate various prompting strategies, including Zero-shot, Few-shot, and Chain-of-Thought prompting, to guide the LLM. Our experimental results demonstrate that the LLM-based error correction yields a substantial F1 improvement on PII tagging. Furthermore, incorporating the n-best list consistently improves the F1 score, and Chain-of-Thought prompting outperforms other strategies like Zero-shot and Few-shot prompting. © 2025 IEEE.</t>
  </si>
  <si>
    <t xml:space="preserve">S041</t>
  </si>
  <si>
    <t xml:space="preserve">Vakili T.; Henriksson A.; Dalianis H.</t>
  </si>
  <si>
    <t xml:space="preserve">Data-Constrained Synthesis of Training Data for De-Identification</t>
  </si>
  <si>
    <t xml:space="preserve">Proceedings of the Annual Meeting of the Association for Computational Linguistics</t>
  </si>
  <si>
    <t xml:space="preserve">10.18653/v1/2025.acl-long.1329</t>
  </si>
  <si>
    <t xml:space="preserve">Genera corpus clínicos sintéticos con LLM para entrenar NER de desidentificación; incluye datos en español.</t>
  </si>
  <si>
    <t xml:space="preserve">Sueco y español</t>
  </si>
  <si>
    <t xml:space="preserve">Textos clínicos en sueco y español</t>
  </si>
  <si>
    <t xml:space="preserve">Caída pequeña de F1 con datos sintéticos</t>
  </si>
  <si>
    <t xml:space="preserve">Many sensitive domains - such as the clinical domain - lack widely available datasets due to privacy risks. The increasing generative capabilities of large language models (LLMs) have made synthetic datasets a viable path forward. In this study, we domain-adapt LLMs to the clinical domain and generate synthetic clinical texts that are machine-annotated with tags for personally identifiable information using capable encoder-based NER models. The synthetic corpora are then used to train synthetic NER models. The results show that training NER models using synthetic corpora incurs only a small drop in predictive performance. The limits of this process are investigated in a systematic ablation study - using both Swedish and Spanish data. Our analysis shows that smaller datasets can be sufficient for domain-adapting LLMs for data synthesis. Instead, the effectiveness of this process is almost entirely contingent on the performance of the machine-annotating NER models trained using the original data. © 2025 Association for Computational Linguistics.</t>
  </si>
  <si>
    <t xml:space="preserve">S042</t>
  </si>
  <si>
    <t xml:space="preserve">Yu J.; Zhou J.; Ding Y.; Zhang L.; Guo Y.; Sato H.</t>
  </si>
  <si>
    <t xml:space="preserve">Textual Differential Privacy for Context-Aware Reasoning with Large Language Model</t>
  </si>
  <si>
    <t xml:space="preserve">Proceedings - 2024 IEEE 48th Annual Computers, Software, and Applications Conference, COMPSAC 2024</t>
  </si>
  <si>
    <t xml:space="preserve">10.1109/COMPSAC61105.2024.00135</t>
  </si>
  <si>
    <t xml:space="preserve">Privacidad diferencial textual para anonimizar el contexto antes de enviarlo al proveedor del LLM sin perder razonamiento.</t>
  </si>
  <si>
    <t xml:space="preserve">LLM / RAG</t>
  </si>
  <si>
    <t xml:space="preserve">Pérdida de privacidad y capacidad de razonamiento</t>
  </si>
  <si>
    <t xml:space="preserve">Large language models (LLMs) have demonstrated proficiency in various language tasks but encounter difficulties in specific domain or scenario. These challenges are mitigated through prompt engineering techniques such as retrieval-augmented generation, which improves performance by integrating contextual information. However, concerns regarding the privacy implications of context-aware reasoning architectures persist, particularly regarding the transmission of sensitive data to LLMs service providers, potentially compromising personal privacy. To mitigate these challenges, this paper introduces Tex-tual Differential Privacy, a novel paradigm aimed at safeguarding user privacy in LLMs-based context-aware reasoning. The proposed Differential Embedding Hash algorithm anonymizes sensitive information while maintaining the reasoning capability of LLMs. Additionally, a quantification scheme for privacy loss is proposed to better understand the trade-off between privacy protection and loss. Through rigorous analysis and experimentation, the effectiveness and robustness of the proposed paradigm in mitigating privacy risks associated with context-aware reasoning tasks are demonstrated. This paradigm addresses privacy concerns in context-aware reasoning architectures, enhancing the trust and utility of LLMs in various applications.  © 2024 IEEE.</t>
  </si>
  <si>
    <t xml:space="preserve">S043</t>
  </si>
  <si>
    <t xml:space="preserve">Zhang L.; Li Y.-F.; Zhang Y.</t>
  </si>
  <si>
    <t xml:space="preserve">SIDF: A Desensitization Framework for Sensitive Information in Chinese Medical Report Images</t>
  </si>
  <si>
    <t xml:space="preserve">Proceedings of the 2024 27th International Conference on Computer Supported Cooperative Work in Design, CSCWD 2024</t>
  </si>
  <si>
    <t xml:space="preserve">10.1109/CSCWD61410.2024.10580575</t>
  </si>
  <si>
    <t xml:space="preserve">Desensibiliza informes médicos en imagen con OCR y NER; la entrada es imagen.</t>
  </si>
  <si>
    <t xml:space="preserve">Chino</t>
  </si>
  <si>
    <t xml:space="preserve">Imágenes de informes médicos</t>
  </si>
  <si>
    <t xml:space="preserve">Índice propio de desensibilización válida</t>
  </si>
  <si>
    <t xml:space="preserve">Medical report images have become the main information resource in intelligent medical treatment, online consultation, and medical research. While facilitating the use of relevant personnel, information security and privacy protection are particularly important. At present, there are related technologies for image desensitization or medical text desensitization, but there is a lack of research on Chinese medical report image desensitization. Thus, this paper proposes a desensitization framework for sensitive information (SIDF) in Chinese medical report images. SIDF contains five modules: sensitive information construction, text detection and text recognition, sensitive information extraction, sensitive information location, and sensitive information desensitization. Because all modules in SIDF can be flexibly designed according to specific requirements, it is convenient to use SIDF. In addition, we design an index of valid desensitization (VD) for measuring the desensitization performance of algorithms. We evaluate SIDF on the Chinese medical report images collected from Internet and private contributions. Experimental results show that our proposed desensitization framework is effective.  © 2024 IEEE.</t>
  </si>
  <si>
    <t xml:space="preserve">S044</t>
  </si>
  <si>
    <t xml:space="preserve">Dhingra P.; Agrawal S.; Veerappan C.S.; Ho T.N.; Chng E.S.; Tong R.</t>
  </si>
  <si>
    <t xml:space="preserve">Speech de-identification data augmentation leveraging large language model</t>
  </si>
  <si>
    <t xml:space="preserve">Proceedings of 2024 International Conference on Asian Language Processing, IALP 2024</t>
  </si>
  <si>
    <t xml:space="preserve">10.1109/IALP63756.2024.10661176</t>
  </si>
  <si>
    <t xml:space="preserve">Aumenta datos con un LLM para desidentificar habla; la entrada es audio.</t>
  </si>
  <si>
    <t xml:space="preserve">Texto sintético con estilo oral</t>
  </si>
  <si>
    <t xml:space="preserve">F1 NER</t>
  </si>
  <si>
    <t xml:space="preserve">This work addresses the challenge of limited real-world speech data in speech de-identification, the process of removing Personally Identifiable Information (PII). We formulate speech de-identification as a named entity recognition (NER) task specifically for spoken English. To overcome data scarcity and enhance NER performance, we propose a data augmentation approach. This approach leverages a large language model to generate synthetic speech style text data enriched with diverse PII entities. The generated data undergoes an iterative process using a customized NER model for semi-automatic PII annotation. Our analysis demonstrates the effectiveness of this data augmentation strategy in significantly improving NER performance on spoken language text. Furthermore, to gain deeper insights into the specific errors made during NER, we employ performance analysis using alternative evaluation metrics. © 2024 IEEE.</t>
  </si>
  <si>
    <t xml:space="preserve">S045</t>
  </si>
  <si>
    <t xml:space="preserve">Sujith V.M.; Gopu A.P.; Abinaya S.; Gokul B.; Bhavadharani S.; Baby K.</t>
  </si>
  <si>
    <t xml:space="preserve">Personal Data Privacy Auditor - A Hybrid Framework for Local PII Detection and Browser Tracker Analysis</t>
  </si>
  <si>
    <t xml:space="preserve">Conference Proceedings - 1st International Conference on Advancing Sustainable Solutions through Technologies, ICASST 2026</t>
  </si>
  <si>
    <t xml:space="preserve">10.1109/ICASST68917.2026.11484150</t>
  </si>
  <si>
    <t xml:space="preserve">Regex, heurísticas y validación de Luhn para correos, teléfonos, documentos, tarjetas y claves secretas; respalda los validadores.</t>
  </si>
  <si>
    <t xml:space="preserve">Archivos personales y empresariales</t>
  </si>
  <si>
    <t xml:space="preserve">Archivos de texto, PDF, DOCX e imágenes</t>
  </si>
  <si>
    <t xml:space="preserve">Precisión y recall</t>
  </si>
  <si>
    <t xml:space="preserve">Nowadays, personal data is being created, stored, and shared across numerous platforms and hardware. With ongoing privacy inflections and data breaches, both individuals and organizations need a trustworthy solution to assist them in the discovery and protection of sensitive information they have access to. The Personal Data Privacy Auditor is a helpful Python-based solution that automates the discovery, classification, and reporting of Personally Identifiable Information (PII) across a variety of file types (text, PDF, DOCX, images, and compressed file formats). The system uses regular expressions, heuristics, Luhn algorithm checks, and Optical Character Recognition (OCR) technology to identify a variety of PII elements including but not limited to email addresses, phone numbers, Aadhaar / PAN numbers, credit card numbers, and secret keys. All discovered PII is masked or hashed and stored in order to protect the confidentiality of information during the auditing process. The appropriately named "Self-Assessment Tool"(SAT) generates statistical reporting and precision-recall examination for evaluating detection accuracy. Moreover, in contrast to any deployed solution using networked security distribution, the auditor functions completely offline, which preserves user privacy when they self-audit their data hygiene remotely. The auditor offers additional education regarding possible privacy threat vectors and helps firms with the legal framework of data protection, and provides a rationale for feature development (e.g. browser tracking identification or dashboard visualization). © 2026 IEEE.</t>
  </si>
  <si>
    <t xml:space="preserve">S046</t>
  </si>
  <si>
    <t xml:space="preserve">Sheela S.; Akshatha P.S.; Kushalatha M.R.; Kumar S.M.D.</t>
  </si>
  <si>
    <t xml:space="preserve">Toward a Secure Future: An Integrated Framework for PII Detection Using NLP and Visual Analysis</t>
  </si>
  <si>
    <t xml:space="preserve">IEEE Access</t>
  </si>
  <si>
    <t xml:space="preserve">10.1109/ACCESS.2026.3669713</t>
  </si>
  <si>
    <t xml:space="preserve">Compara regex, spaCy, BERT e híbrido sobre texto OCR; el híbrido supera a cada componente solo.</t>
  </si>
  <si>
    <t xml:space="preserve">Documentos de identidad</t>
  </si>
  <si>
    <t xml:space="preserve">Inglés (India)</t>
  </si>
  <si>
    <t xml:space="preserve">Conjunto sintético de PII india</t>
  </si>
  <si>
    <t xml:space="preserve">F1 regex 0,445; spaCy 0,166; BERT 0,042; híbrido 0,515</t>
  </si>
  <si>
    <t xml:space="preserve">Safeguarding Personally Identifiable Information (PII) is critical to prevent data breaches and identity theft in the era of digital services. This paper presents a hybrid PII detection and secure verification system that integrates rule-based regular expressions, transformer-based spaCy NLP, BERT models, and a Swin Transformer-based FasterRCNN pipeline. While text-based methods (Regex, SpaCy, BERT) excel at structured and contextual PII detection from OCR-processed text, the Swin Transformer provides vision-based detection capability for document images, handling complex layouts and visual cues often missed by traditional pipelines. It is observed that the empirical evaluation on a synthetic Indian PII dataset shows a significant performance improvement: the Regex method achieves an F1-score of 0.445, spacy reaches 0.166, and BERT alone achieves 0.042. The hybrid model, which combines these, yields an improved F1-score of 0.515, while the Swin Transformer model outperforms all others with an F1-score of 0.978, demonstrating near-perfect performance for image-based PII detection. A blockchain-backed double hashing mechanism, SHA-256, provides tamper-proof storage of PII fingerprints, while OTPbased authentication secures system access. In this work, it is proposed to use both OCR and vision-based detection in the scanned PDFs and images for robust and secure PII verification. This framework provides an interpretable, scalable, and privacy-preserving identity verification solution that improves upon the accuracy and layout awareness compared to the previous methods. © 2013 IEEE.</t>
  </si>
  <si>
    <t xml:space="preserve">S047</t>
  </si>
  <si>
    <t xml:space="preserve">Dunstan J.; Vakili T.; Miranda L.; Villena F.; Aracena C.; Quiroga T.; Vera P.; Viteri Valenzuela S.; Rocco V.</t>
  </si>
  <si>
    <t xml:space="preserve">A pseudonymized corpus of occupational health narratives for clinical entity recognition in Spanish</t>
  </si>
  <si>
    <t xml:space="preserve">BMC Medical Informatics and Decision Making</t>
  </si>
  <si>
    <t xml:space="preserve">10.1186/s12911-024-02609-w</t>
  </si>
  <si>
    <t xml:space="preserve">Corpus en español anotado con PII; compara el efecto de enmascarar y seudonimizar sobre una tarea posterior.</t>
  </si>
  <si>
    <t xml:space="preserve">Clínico (salud ocupacional)</t>
  </si>
  <si>
    <t xml:space="preserve">Español</t>
  </si>
  <si>
    <t xml:space="preserve">1.787 anamnesis anotadas</t>
  </si>
  <si>
    <t xml:space="preserve">Desempeño del NER clínico en texto original, enmascarado y seudonimizado</t>
  </si>
  <si>
    <t xml:space="preserve">Despite the high creation cost, annotated corpora are indispensable for robust natural language processing systems. In the clinical field, in addition to annotating medical entities, corpus creators must also remove personally identifiable information (PII). This has become increasingly important in the era of large language models where unwanted memorization can occur. This paper presents a corpus annotated to anonymize personally identifiable information in 1,787 anamneses of work-related accidents and diseases in Spanish. Additionally, we applied a previously released model for Named Entity Recognition (NER) trained on referrals from primary care physicians to identify diseases, body parts, and medications in this work-related text. We analyzed the differences between the models and the gold standard curated by a physician in detail. Moreover, we compared the performance of the NER model on the original narratives, in narratives where personal information has been masked, and in texts where the personal data is replaced by another similar surrogate value (pseudonymization). Within this publication, we share the annotation guidelines and the annotated corpus. © The Author(s) 2024.</t>
  </si>
  <si>
    <t xml:space="preserve">S048</t>
  </si>
  <si>
    <t xml:space="preserve">Nayak S.P.; Pasumarthi S.; Rajagopal B.; Verma A.K.</t>
  </si>
  <si>
    <t xml:space="preserve">GDPR Compliant ChatGPT Playground</t>
  </si>
  <si>
    <t xml:space="preserve">International Conference on Emerging Technologies in Computer Science for Interdisciplinary Applications, ICETCS 2024</t>
  </si>
  <si>
    <t xml:space="preserve">10.1109/ICETCS61022.2024.10543557</t>
  </si>
  <si>
    <t xml:space="preserve">Valida el prompt con un NER corporativo antes de enviarlo a ChatGPT y avisa al usuario; es el antecedente más cercano al proxy de este trabajo.</t>
  </si>
  <si>
    <t xml:space="preserve">Documentos corporativos etiquetados</t>
  </si>
  <si>
    <t xml:space="preserve">Abstract (texto completo no disponible)</t>
  </si>
  <si>
    <t xml:space="preserve">ChatGPT is an AI based conversational tool developed by OpenAPI on the design principles of Large Language Model (LLM) and a publicly accessible tool. ChatGPT has increasingly becoming popular tool for enabling applications involving interactive and contextual search across corporate companies, profit/non-profit organizations, educational/medical institutions, and researcher's community to name a few.The corporate companies are abided by GDPR (General Data Protection Regulation) compliance checks and restricted to share confidential, personal or sensitive information's (hereinafter referred as critical data) into public domains. As ChatGPT server is hosted outside corporate boundaries, to fulfil GDPR compliance check, the corporate companies must have necessary systems in place of any data leaving outside of corporate boundaries.We are proposing a novel solution in identifying GDPR noncompliant DPP (Data Privacy and Protection) entities from the prompt query given to ChatGPT. To achieve this, from the corporate documents we first manually tag critical entities from 'named entity tagging tool' in building the corporate specific DPP entities knowledgebase, build custom NER (Named Entity Recognition) model on top of prebuilt corporate specific DPP entities knowledgebase, an ChatGPT playground interface to accept any user's prompt query, before firing the query to ChatGPT we validate the user's prompt query against custom NER model to detect if any corporate specific DPP entities are present, warn the user by highlighting the corporate specific DPP entities if present to facilitate user in negating the same, we enabled feedback loop from the user for the highlighted corporate specific DPP entities to improvise the custom NER model and logging all the input prompt queries fired to ChatGPT to enable corporate auditing process by using techniques from Natural Language Processing (NLP), Information Extraction, Information Retrieval (IR) and Custom NER model. © 2024 IEEE.</t>
  </si>
  <si>
    <t xml:space="preserve">S049</t>
  </si>
  <si>
    <t xml:space="preserve">Liu L.; Perez-Concha O.; Nguyen A.; Bennett V.; Jorm L.</t>
  </si>
  <si>
    <t xml:space="preserve">De-identifying Australian hospital discharge summaries: An end-to-end framework using ensemble of deep learning models</t>
  </si>
  <si>
    <t xml:space="preserve">Journal of Biomedical Informatics</t>
  </si>
  <si>
    <t xml:space="preserve">10.1016/j.jbi.2022.104215</t>
  </si>
  <si>
    <t xml:space="preserve">Ensambles de modelos NER para desidentificar resúmenes de alta; reporta F1 con coincidencia estricta.</t>
  </si>
  <si>
    <t xml:space="preserve">600 resúmenes de alta e i2b2 2014</t>
  </si>
  <si>
    <t xml:space="preserve">F1 99,16 %; 96,24 % estricto en i2b2</t>
  </si>
  <si>
    <t xml:space="preserve">Electronic Medical Records (EMRs) contain clinical narrative text that is of great potential value to medical researchers. However, this information is mixed with Personally Identifiable Information (PII) that presents risks to patient and clinician confidentiality. This paper presents an end-to-end de-identification framework to automatically remove PII from Australian hospital discharge summaries. Our corpus included 600 hospital discharge summaries which were extracted from the EMRs of two principal referral hospitals in Sydney, Australia. Our end-to-end de-identification framework consists of three components: (1) Annotation: labelling of PII in the 600 hospital discharge summaries using five pre-defined categories: person, address, date of birth, individual identification number, phone/fax number; (2) Modelling: training six named entity recognition (NER) deep learning base-models on balanced and imbalanced datasets; and evaluating ensembles that combine all six base-models, the three base-models with the best F1 scores and the three base-models with the best recall scores respectively, using token-level majority voting and stacking methods; and (3) De-identification: removing PII from the hospital discharge summaries. Our results showed that the ensemble model combined using the stacking Support Vector Machine (SVM) method on the three base-models with the best F1 scores achieved excellent results with a F1 score of 99.16% on the test set of our corpus. We also evaluated the robustness of our modelling component on the 2014 i2b2 de-identification dataset. Our ensemble model, which uses the token-level majority voting method on all six base-models, achieved the highest F1 score of 96.24% at strict entity matching and the highest F1 score of 98.64% at binary token-level matching compared to two state-of-the-art methods. The end-to-end framework provides a robust solution to de-identifying clinical narrative corpuses safely. It can easily be applied to any kind of clinical narrative documents. © 2022 The Author(s)</t>
  </si>
  <si>
    <t xml:space="preserve">S050</t>
  </si>
  <si>
    <t xml:space="preserve">Chen B.; Jiang L.; Pan X.; Zhou G.; Sun A.; Li D.</t>
  </si>
  <si>
    <t xml:space="preserve">Exploring Emotion Trends in Product Reviews: A Multi-modal Analysis with Malicious Comment Filtering and User Privacy Protection</t>
  </si>
  <si>
    <t xml:space="preserve">10.1007/978-981-97-0942-7_19</t>
  </si>
  <si>
    <t xml:space="preserve">El problema es el análisis de sentimiento; las regex de privacidad son un paso menor.</t>
  </si>
  <si>
    <t xml:space="preserve">Comercio / reseñas</t>
  </si>
  <si>
    <t xml:space="preserve">Reseñas de libros de Amazon</t>
  </si>
  <si>
    <t xml:space="preserve">Exactitud 94,15 % en sentimiento</t>
  </si>
  <si>
    <t xml:space="preserve">In this paper, we introduce an innovative approach that combines multi-modal sentiment analysis with mechanisms for safeguarding user information security. Our objective is to effectively combat harmful comments and precisely forecast trends in product sentiment. Initially, we detect and secure sensitive user information by implementing regular expressions to ensure user confidentiality and security. First, we apply statistical analysis and K-means++  algorithms to screen users who post malicious reviews. Next, we develop a novel multi-modal sentiment analysis and prediction model that incorporates the pre-trained BERT model and Swin Transformer model for feature extraction from comment text and image data. Furthermore, the expressive capability of image features is enhanced with the aid of the SENet model. We input the image features, improved by the SENet model, as well as the text features, extracted by the BERT model, into the Transformer model for fusion, and the classification probability is determined using the SoftMax function. We employ the Prophet method to combine sentiment indicators and time series features, which allows us to predict the upcoming sentiment trends of product reviews. The algorithm is implemented in the evaluation of the Amazon book review datasets and is compared to other algorithms such as Bert, yielding an accuracy of 94.15%. This study is of significant value for enabling real-time monitoring of product sentiment trends, filtering malicious reviews, and enhancing both product management and user experience. © The Author(s), under exclusive license to Springer Nature Singapore Pte Ltd. 2024.</t>
  </si>
  <si>
    <t xml:space="preserve">S051</t>
  </si>
  <si>
    <t xml:space="preserve">Rout P.; Bansal D.; Satapathy P.; Reddy T.S.; Shivani S.; Kumari P.; Rao S.; Dahiya O.; Thakur T.</t>
  </si>
  <si>
    <t xml:space="preserve">AI-Driven Privacy Masking: A Context-Aware Hybrid Model for Multilingual and Unstructured Documents</t>
  </si>
  <si>
    <t xml:space="preserve">2026 International Conference on Intelligent Systems in Engineering, Secured Systems and Cybersecurity, ICISESSC 2026</t>
  </si>
  <si>
    <t xml:space="preserve">10.1109/ICISESSC68634.2026.11542816</t>
  </si>
  <si>
    <t xml:space="preserve">Transformer más reglas para identificadores regionales; insiste en combinar reglas y aprendizaje por transferencia.</t>
  </si>
  <si>
    <t xml:space="preserve">Documentos multilingües</t>
  </si>
  <si>
    <t xml:space="preserve">Documentos (no detalla)</t>
  </si>
  <si>
    <t xml:space="preserve">Supera a herramientas abiertas en P, R y enmascaramiento</t>
  </si>
  <si>
    <t xml:space="preserve">The increasing volume of digital documents containing Personally Identifiable Information (PII) has increased the demand for automated privacy masking solutions that ensure adherence to emerging data protection regulations, including the General Data Protection Regulation (GDPR) and India's Digital Personal Data Protection (DPDP) Act. Intelligent, context-aware PII detection solutions are critical since manual redaction of sensitive data is costly, error-prone, and unworkable when scaled. Current Named Entity Recognition (NER) techniques are inadequate for unstructured document formats, multilingual documents, and ambiguous or domain-specific identifiers. In this research, we present a hybrid AI-based solution for document-level PII detection and redaction that blends transformer-based deep learning with rule-based reasoning for region-specific identifiers like Aadhaar, PAN, and IFSC codes, and other structured identifiers, showing superior precision, recall, and masking accuracy than current open-source technologies. This study provides an analysis of scalable document-privacy pipelines that are appropriate for corporations, government agencies, and educational institutions, emphasizing the need to combine rulebased enhancement with transfer learning for effective PII masking. © 2026 IEEE.</t>
  </si>
  <si>
    <t xml:space="preserve">S052</t>
  </si>
  <si>
    <t xml:space="preserve">Yuan G.; Zhao X.; Li L.; Zhang S.; Wei S.</t>
  </si>
  <si>
    <t xml:space="preserve">Few-Shot Learning Sensitive Recognition Method Based on Prototypical Network</t>
  </si>
  <si>
    <t xml:space="preserve">Mathematics</t>
  </si>
  <si>
    <t xml:space="preserve">10.3390/math12172791</t>
  </si>
  <si>
    <t xml:space="preserve">Red prototípica para reconocer datos sensibles con pocos ejemplos.</t>
  </si>
  <si>
    <t xml:space="preserve">Texto general</t>
  </si>
  <si>
    <t xml:space="preserve">Chino (probable)</t>
  </si>
  <si>
    <t xml:space="preserve">Conjunto de prueba propio</t>
  </si>
  <si>
    <t xml:space="preserve">P 84,8 %; R 85,8 %; F1 0,853</t>
  </si>
  <si>
    <t xml:space="preserve">Traditional machine learning-based entity extraction methods rely heavily on feature engineering by experts, and the generalization ability of the model is poor. Prototype networks, on the other hand, can effectively use a small amount of labeled data to train models while using category prototypes to enhance the generalization ability of the models. Therefore, this paper proposes a prototype network-based named entity recognition (NER) method, namely the FSPN-NER model, to solve the problem of difficult recognition of sensitive data in data-sparse text. The model utilizes the positional coding model (PCM) to pre-train the data and perform feature extraction, then computes the prototype vectors to achieve entity matching, and finally introduces a boundary detection module to enhance the performance of the prototype network in the named entity recognition task. The model in this paper is compared with LSTM, BiLSTM, CRF, Transformer and their combination models, and the experimental results on the test dataset show that the model outperforms the comparative models with an accuracy of 84.8%, a recall of 85.8% and an F1 value of 0.853. © 2024 by the authors.</t>
  </si>
  <si>
    <t xml:space="preserve">S053</t>
  </si>
  <si>
    <t xml:space="preserve">Ali S.D.</t>
  </si>
  <si>
    <t xml:space="preserve">SecureLogX: A Java-Native, AI-Augmented Logging Framework for Privacy-Preserving, Parallel Log Processing in Enterprise Systems</t>
  </si>
  <si>
    <t xml:space="preserve">Conference Proceedings - IEEE SOUTHEASTCON</t>
  </si>
  <si>
    <t xml:space="preserve">10.1109/SoutheastCon63549.2026.11476327</t>
  </si>
  <si>
    <t xml:space="preserve">Enmascara entidades en logs empresariales con un NER transformer en línea, con baja latencia.</t>
  </si>
  <si>
    <t xml:space="preserve">Logs JSON, XML y texto</t>
  </si>
  <si>
    <t xml:space="preserve">Latencia</t>
  </si>
  <si>
    <t xml:space="preserve">Enterprise logging systems must meet increasing demands for real-time privacy compliance under regulations such as HIPAA and GDPR while sustaining high throughput. This paper presents SecureLogX, an AI-powered Java logging framework for inline, privacy-preserving observability. SecureLogX integrates ONNX-based transformer inference with parallel and asynchronous log processing to enable adaptive masking of sensitive entities across JSON, XML, and text logs. The hybrid NER engine dynamically identifies personal identifiers without reliance on static regex rules. Experimental evaluation demonstrates low-latency performance suitable for distributed microservice environments. © 2026 IEEE.</t>
  </si>
  <si>
    <t xml:space="preserve">S054</t>
  </si>
  <si>
    <t xml:space="preserve">Luo N.; Weng C.; Singh J.; Tan G.; Raykova M.; Piskac R.</t>
  </si>
  <si>
    <t xml:space="preserve">Privacy-Preserving Regular Expression Matching Using TNFA</t>
  </si>
  <si>
    <t xml:space="preserve">10.1007/978-3-031-70890-9_12</t>
  </si>
  <si>
    <t xml:space="preserve">Protocolos para evaluar regex de forma privada; no detecta información sensible.</t>
  </si>
  <si>
    <t xml:space="preserve">Criptografía</t>
  </si>
  <si>
    <t xml:space="preserve">Complejidad y latencia</t>
  </si>
  <si>
    <t xml:space="preserve">Regular expression (regex) is a powerful tool to efficiently search patterns in text strings. However, it is common when the regex and string are privately held by different parties who are unwilling to reveal sensitive information. In this work, we provide solutions for private regex pattern match. By exploiting the structure of Thompson nondeterministic automata, we design a regex match algorithm with O(mn) complexity where m and n are the length of the string and regex. It is oblivious to the input string and, hence, is friendly to private evaluation. We develop two 2-party regex matching protocols that take input a private string from one party and a private regex from another. The first protocol uses oblivious stack as a building block and reduces the communication complexity of the state-of-the-art secure regex protocols from O(mn2) to O(mnlogn). The second protocol is based on the oblivious transfer and shows better empirical results for short regex in low-latency networks. We also evaluated our protocols in the context of joint intrusion detection and DNA sequence search. The results indicate one more step toward the practicality of private regex pattern matching in real-world applications. © The Author(s), under exclusive license to Springer Nature Switzerland AG 2024.</t>
  </si>
  <si>
    <t xml:space="preserve">S055</t>
  </si>
  <si>
    <t xml:space="preserve">Almeida A.; Shah S.; Khandor N.B.; Agarwal N.</t>
  </si>
  <si>
    <t xml:space="preserve">LEGAL AI: A Tool to help Lawyers Optimize their Performance</t>
  </si>
  <si>
    <t xml:space="preserve">2024 International Conference on Electrical, Electronics and Computing Technologies, ICEECT 2024</t>
  </si>
  <si>
    <t xml:space="preserve">10.1109/ICEECT61758.2024.10739264</t>
  </si>
  <si>
    <t xml:space="preserve">Herramienta general para abogados; la redacción de datos del cliente es una función secundaria.</t>
  </si>
  <si>
    <t xml:space="preserve">The modern legal environment where quick changes are happening requires integrating advanced technologies to make legal professionals more efficient and effective. The purpose of this project is to propose "LegalAI,"which could solve some of the critical challenges legal software and hardware lawyers currently face, such as document analysis, language translation, and privacy. Legal AI's primary concern is the difficulty and time- intensive nature of reviewing extensive legal documents. By synthesizing and recomposing key points, Legal AI aids the lawyer in obtaining the most important content from lengthier texts as soon as possible. This increases experts' time and productivity. Moreover, the capabilities of legal AI include translation of the language to ensure free interaction among the lawyers from states. It will contribute to greater cohesion and collaboration within the legal cluster. There are several aspects related to the privacy of the client's sensitive information such as redaction. All of the abovementioned aspects contribute to the considerable opportunities of legal AI to improve the performance of the professionals. In general, legal Ai involves the integration of automated document summary, language translation, and privacy protection mechanisms for better performance of the lawyers. © 2024 IEEE.</t>
  </si>
  <si>
    <t xml:space="preserve">S056</t>
  </si>
  <si>
    <t xml:space="preserve">Rahman M.N.; Ahmed S.; Wahab Z.; Uddin G.; Shahriyar R.</t>
  </si>
  <si>
    <t xml:space="preserve">IssueGuard: Real-Time Secret Leak Prevention Tool for GitHub Issue Reports</t>
  </si>
  <si>
    <t xml:space="preserve">FSE Companion 2026 - Proceedings of the 34th ACM International Conference on the Foundations of Software Engineering</t>
  </si>
  <si>
    <t xml:space="preserve">10.1145/3803437.3806406</t>
  </si>
  <si>
    <t xml:space="preserve">Extensión que detecta secretos mientras el usuario escribe, con regex de candidatos y CodeBERT; base del criterio para CREDENTIAL / SECRET.</t>
  </si>
  <si>
    <t xml:space="preserve">Software (GitHub)</t>
  </si>
  <si>
    <t xml:space="preserve">Benchmark de secretos en issues</t>
  </si>
  <si>
    <t xml:space="preserve">F1 92,70 %</t>
  </si>
  <si>
    <t xml:space="preserve">GitHub and GitLab are widely used collaborative platforms whose issue-tracking systems contain large volumes of unstructured text, including logs, code snippets, and configuration examples. This creates a significant risk of accidental secret exposure, such as API keys and credentials, yet these platforms provide no mechanism to warn users before submission. We present IssueGuard, a tool for real-time detection and prevention of secret leaks in issue reports. Implemented as a Chrome extension, IssueGuard analyzes text as users type and combines regex-based candidate extraction with a fine-tuned CodeBERT model for contextual classification. This approach effectively separates real secrets from false positives and achieves an F1-score of 92.70% on a benchmark dataset, outperforming traditional regex-based scanners. IssueGuard integrates directly into the web interface and continuously analyzes the issue editor, presenting clear visual warnings to help users avoid submitting sensitive data. The source code is publicly available at https://github.com/disa-lab/IssueGuard, and a demonstration video is available at https://youtu.be/kvbWA8rr9cU. © 2026 Copyright held by the owner/author(s).</t>
  </si>
  <si>
    <t xml:space="preserve">S057</t>
  </si>
  <si>
    <t xml:space="preserve">Huang Y.-Z.; Peng T.-C.; Lin H.-Y.; Sy E.; Chang Y.-C.</t>
  </si>
  <si>
    <t xml:space="preserve">Enhancing Automated De-identification of Pathology Text Notes Using Pre-trained Language Models</t>
  </si>
  <si>
    <t xml:space="preserve">10.1007/978-981-97-7966-6_2</t>
  </si>
  <si>
    <t xml:space="preserve">T5 ajustado con regex y la librería Pycountry para reducir falsos positivos.</t>
  </si>
  <si>
    <t xml:space="preserve">Notas de patología</t>
  </si>
  <si>
    <t xml:space="preserve">F1 macro de 0,779 a 0,919</t>
  </si>
  <si>
    <t xml:space="preserve">With the recent advancements in artificial intelligence (AI), particularly the surge in large language models (LLMs) led by industry giants such as OpenAI, Microsoft, and Google, a new era in clinical medicine and digital health has been ushered in. These advancements, transformative as they are, introduce significant privacy concerns, particularly in the healthcare sector, which heavily relies on Electronic Health Records notes (EHRs) text notes. Our research directly addresses these privacy challenges by enhancing the T5-Efficient-BASE-DL2 model for the de-identification of patient data. We fine-tuned the T5 model with specific hyperparameter adjustments and implemented exact match evaluations to significantly reduce false positives and improve the accuracy of entity recognition, particularly for sensitive information processing. This was achieved using regular expressions and the Pycountry library. Our enhancements resulted in a notable improvement in the model’s performance, with a 14% increase in the macro-average F1-score for Task 1, rising from 0.7787 to 0.9187, and a 30% improvement for Task 2, from 0.4871 to 0.79. These advancements not only enhance the security and efficiency of healthcare information management but also uphold the integrity of individual privacy and facilitate the safe sharing of data for research purposes without compromising confidentiality. Our research lays the groundwork for future developments in improving rule-based methodologies and expanding datasets, aiming to further integrate machine learning with linguistic rules for more effective data privacy solutions in healthcare. © The Author(s), under exclusive license to Springer Nature Singapore Pte Ltd. 2025.</t>
  </si>
  <si>
    <t xml:space="preserve">S058</t>
  </si>
  <si>
    <t xml:space="preserve">Abbasi W.</t>
  </si>
  <si>
    <t xml:space="preserve">Privacy-Preserving Speaker Verification and Speech Recognition</t>
  </si>
  <si>
    <t xml:space="preserve">10.1007/978-3-031-25467-3_7</t>
  </si>
  <si>
    <t xml:space="preserve">Anonimiza la transcripción con NER antes de enviarla a terceros; la entrada es audio.</t>
  </si>
  <si>
    <t xml:space="preserve">Voz</t>
  </si>
  <si>
    <t xml:space="preserve">LibriSpeech</t>
  </si>
  <si>
    <t xml:space="preserve">Exactitud y similitud con el resultado sin privacidad</t>
  </si>
  <si>
    <t xml:space="preserve">This paper proposes an approach to speaker verification and speech recognition in environments that require authentication and privacy protection, while accuracy and data utility must remain high. Our methodology aims at protecting audio files and users’ identities through the use of encryption and hashing algorithms, while at the same time providing accurate speaker’s identity prediction. In addition, for speech recognition, we introduce a mechanism to anonymize the resulting transcript of the recognized spoken language using the Named Entity Recognition method by removing sensitive entities from the text according to the user’s preferences. Furthermore, a privacy-preserving version of the original audio is obtained by performing a text-to-speech translation of the anonymized transcript, which together, the anonymous audio and transcript can be transmitted to third parties or service providers without violating privacy restrictions. The proposed methodology has been validated with a set of experiments on a well-known audio dataset, the Librispeech dataset. A type of Time Delay Neural Networks, ECAPA-TDNN was used for speaker verification, Deep Speech as a type of Recurrent Neural Networks was used for speech recognition, NER for entity recognition, cryptography and hashing for privacy protection. The results demonstrate the validity of our approach to protecting the privacy of user data and biometric information while simultaneously performing data analysis with a high degree of accuracy and similarity with the results obtained with no privacy mechanisms in place, also considering the use of several privacy mechanisms. © 2023, Springer Nature Switzerland AG.</t>
  </si>
  <si>
    <t xml:space="preserve">S059</t>
  </si>
  <si>
    <t xml:space="preserve">Gunay M.; Keles B.; Hizlan R.</t>
  </si>
  <si>
    <t xml:space="preserve">Large language models-in-the-loop: Leveraging expert small artificial intelligence models for multilingual anonymization and de-identification of protected health information</t>
  </si>
  <si>
    <t xml:space="preserve">Artificial Intelligence in Health</t>
  </si>
  <si>
    <t xml:space="preserve">10.36922/AIH025120021</t>
  </si>
  <si>
    <t xml:space="preserve">Modelos NER pequeños entrenados con LLM en el ciclo; superan a GPT-4o y evitan enviar datos a una API.</t>
  </si>
  <si>
    <t xml:space="preserve">Multilingüe (incluye español)</t>
  </si>
  <si>
    <t xml:space="preserve">Textos clínicos en ocho idiomas</t>
  </si>
  <si>
    <t xml:space="preserve">F1 macro 0,922–0,963; 0,957 en español</t>
  </si>
  <si>
    <t xml:space="preserve">The rise of chronic diseases and pandemics, such as COVID-19 has emphasized the need for effective patient data processing while ensuring privacy through anonymization and de-identification of protected health information. Anonymized data facilitates research without compromising patient confidentiality. This paper introduces expert small artificial intelligence (AI) models developed using the large language model (LLM)-in-the-loop methodology to meet the demand for domain-specific de-identification of named entity recognition (NER) models. These models overcome the privacy risks associated with LLMs used through application programming interfaces by eliminating the need to transmit or store sensitive data. More importantly, they consistently outperform LLMs in de-identification tasks, offering superior performance and reliability. Our de-identification NER models, developed in eight languages—English, German, Italian, French, Romanian, Turkish, Spanish, and Arabic—achieved F1-macro score averages of 0.931, 0.960, 0.955, 0.937, 0.930, 0.963, 0.957, and 0.922, respectively. These results establish our de-identification NER models as the most accurate healthcare anonymization solutions, surpassing existing small models and even general-purpose LLMs, such as GPT-4o. While Part I of this series introduced the LLM-in-the-loop methodology for biomedical document translation, this second paper showcases its success in developing cost-effective expert small NER models in de-identification tasks. Our findings lay the groundwork for future healthcare AI innovations, including biomedical entity and relation extraction, demonstrating the value of specialized models for domain-specific challenges. © 2025 Author(s).</t>
  </si>
  <si>
    <t xml:space="preserve">S060</t>
  </si>
  <si>
    <t xml:space="preserve">Kamal A.H.; Kayem A.V.D.M.</t>
  </si>
  <si>
    <t xml:space="preserve">Classifying Public and Private Documents Using Context-Based Predictions</t>
  </si>
  <si>
    <t xml:space="preserve">10.1007/978-3-032-02049-9_29</t>
  </si>
  <si>
    <t xml:space="preserve">Clasifica documentos como públicos o privados según la información sensible que contienen; sensibilidad por documento.</t>
  </si>
  <si>
    <t xml:space="preserve">Correo y redes sociales</t>
  </si>
  <si>
    <t xml:space="preserve">Correos de Enron y tuits</t>
  </si>
  <si>
    <t xml:space="preserve">Exactitud 100 % (públicos); recall 0,98 (privados)</t>
  </si>
  <si>
    <t xml:space="preserve"> Unstructured data, such as textual data, is prevalent on digital platforms such as social media, with users posting content that sometimes includes sensitive information. For instance, in March of 2025, a press story by journalist Jeffrey Goldberg indicated that secret Trump administration plans for an air strike on Yemen had inadvertently been leaked to him (U.S. national-security leaders included me in a group chat aboutupcoming military strikes in Yemen...). Despite regulations, and the existence of access control policies data leaks such as this are persistent. One of the reasons for this is that contextually analysing unstructured data to determine whether or not sensitive information exists therein, is a challenging problem. Existing approaches identify individual elements of sensitive information such as Personally Identifiable Information (PII), but few works look at the issue of document sensitivity based on the occurrence of sensitive information. In this paper we propose a novel approach to classifying documents as either public or private, based on the occurrence of, and contextual interpretation of sensitive information within the document. We employ an ensemble model composed of transformer-encoder models and standard machine learning models to support the classification process. Our empirical study, conducted on a curated dataset composed of ENRON emails and Tweets of U.S. Congress members, indicates that the Random Forest algorithm when combined with the BERT model classifies all public documents correctly (i.e. 100% accuracy), and achieves a 0.98 recall score for private documents.  © The Author(s), under exclusive license to Springer Nature Switzerland AG 2026.</t>
  </si>
  <si>
    <t xml:space="preserve">S061</t>
  </si>
  <si>
    <t xml:space="preserve">Sivaraman A.; Furniturewala M.; Gayathri P.</t>
  </si>
  <si>
    <t xml:space="preserve">Detecting and Fixing SQL Injection and Cross-Site Scripting Vulnerabilities in Web Applications</t>
  </si>
  <si>
    <t xml:space="preserve">2023 Innovations in Power and Advanced Computing Technologies, i-PACT 2023</t>
  </si>
  <si>
    <t xml:space="preserve">10.1109/I-PACT58649.2023.10434879</t>
  </si>
  <si>
    <t xml:space="preserve">Detecta vulnerabilidades SQL injection y XSS; no trata información sensible en texto.</t>
  </si>
  <si>
    <t xml:space="preserve">Seguridad web</t>
  </si>
  <si>
    <t xml:space="preserve">Código PHP</t>
  </si>
  <si>
    <t xml:space="preserve">More people have access to the internet than ever before. This has prompted many organizations to develop web-based applications that users can use online to interact with the organization. Poorly written code for web applications, especially SQL queries can be exploited to gain unauthorized access to sensitive data and web servers. It is not possible to manually scroll through the codebase to detect parts of code that would make the application vulnerable to attacks. Thus, machine learning and natural language processing-based solutions would help detect such queries either based on their patterns or signatures or through training via previous attack datasets. This paper aims to propose a novel methodology to detect SQL injection vulnerable queries and Cross-Site Scripting (XSS) attacks using pattern matching and NLP techniques and rewrite or in other words correct the vulnerable parts of code to prevent such attacks. Overall, this paper is used to identify vulnerable parts of code in a given client-side PHP web application, detect if the vulnerability belongs to a particular attack type and finally correct the vulnerable section of the code by providing recommendations based on standard prevention techniques for the corresponding attacks. © 2023 IEEE.</t>
  </si>
  <si>
    <t xml:space="preserve">S062</t>
  </si>
  <si>
    <t xml:space="preserve">Tobia G.P.; Patarnello S.; Masciocchi C.; Nero C.; Passarotti M.C.; Moretti G.; Marchetti A.; Arcuri G.; Lilli L.</t>
  </si>
  <si>
    <t xml:space="preserve">Privacy in Italian Clinical Reports: A NLP-Based Anonymization Approach</t>
  </si>
  <si>
    <t xml:space="preserve">Proceedings - 2025 IEEE 13th International Conference on Healthcare Informatics, ICHI 2025</t>
  </si>
  <si>
    <t xml:space="preserve">10.1109/ICHI64645.2025.00077</t>
  </si>
  <si>
    <t xml:space="preserve">BERT ajustado para PHI en italiano; discute el desbalance de clases.</t>
  </si>
  <si>
    <t xml:space="preserve">Italiano</t>
  </si>
  <si>
    <t xml:space="preserve">1.000 cartas de alta y 100 sintéticas</t>
  </si>
  <si>
    <t xml:space="preserve">The sharing of data is of significant importance for the advancement of scientific and technological knowledge. However, legislation such as the General Data Protection Regulation (GDPR) in Europe and the Health Insurance Portability and Accountability Act (HIPAA) in the United States implies significant restrictions on the dissemination of personal data within the healthcare sector. This has led to the development of reliable and automated methods for the anonymization of clinical documents, becoming a key area of research.This study presents a Natural Language Processing (NLP) approach to anonymize Italian clinical reports, focusing on protecting patient privacy by identifying and masking personally identifiable information. The research employs BERT-based Named Entity Recognition models, fine-tuning them on the healthcare-specific domain. The dataset, consisting of 1000 discharge letters from the Gemelli Hospital of Rome and 100 synthetically generated reports, was annotated to include critical protected health information (PHI) categories. The study compares different tagging schemes and loss functions, addressing class imbalance. The results demonstrate that a pre-trained model designed to recognize personal identifiable information in general texts can be effectively adapted and specialized to detect PHI in clinical reports in order to anonymize them.This work underscores the challenges of handling unbalanced datasets, the over-representation of non-PHI tokens, and interclass ambiguities. This research contributes to the development of a novel transformer-based model specialized in Italian clinical text, providing a framework for clinical text anonymization, ensuring compliance with privacy standards like GDPR while preserving the utility of data for research. © 2025 IEEE.</t>
  </si>
  <si>
    <t xml:space="preserve">S063</t>
  </si>
  <si>
    <t xml:space="preserve">Fakhfakh E.; Charfeddine M.; Tarhouni N.; Guettat M.A.</t>
  </si>
  <si>
    <t xml:space="preserve">Combining TF-IDF, V-GAN, and XGB to Improve Next-Generation Web Application Firewalls' Ability to Detect SQL Injection Attacks</t>
  </si>
  <si>
    <t xml:space="preserve">Proceedings of IEEE/ACS International Conference on Computer Systems and Applications, AICCSA</t>
  </si>
  <si>
    <t xml:space="preserve">10.1109/AICCSA63423.2024.10912540</t>
  </si>
  <si>
    <t xml:space="preserve">Detecta ataques de SQL injection; no trata información sensible en texto.</t>
  </si>
  <si>
    <t xml:space="preserve">Tráfico de red y consultas SQL</t>
  </si>
  <si>
    <t xml:space="preserve">Exactitud 99,95 %</t>
  </si>
  <si>
    <t xml:space="preserve">SQL injection attacks are one of the most devastating vulnerabilities on the web, which can be used to leak sensitive information, gain unauthorized access, and result in financial losses. We utilized five distinct Machine Learning (ML) and Deep Learning (DL) algorithms to detect SQL injection attacks. We extracted features from network traffic and SQL queries through tokenization and regular expressions. Our findings show that combining the Term Frequency-Inverse Document Frequency (TF-IDF), Vanilla Generative Adversarial Network (VGAN), and eXtreme Gradient Boosting (XGB) models resulted in remarkably high performance metrics, including 99.95 % accuracy, 99.92 % precision, 99.97 % recall, and a 99.95 % F1-score. The results not only show the combination's effectiveness but also emphasize the importance of using machine learning techniques to detect SQL injection attacks to improve real-world cybersecurity applications significantly.  © 2024 IEEE.</t>
  </si>
  <si>
    <t xml:space="preserve">S064</t>
  </si>
  <si>
    <t xml:space="preserve">Juez-Hernandez R.; Quijano-Sánchez L.; Liberatore F.; Gómez J.</t>
  </si>
  <si>
    <t xml:space="preserve">AGORA: An intelligent system for the anonymization, information extraction and automatic mapping of sensitive documents</t>
  </si>
  <si>
    <t xml:space="preserve">Applied Soft Computing</t>
  </si>
  <si>
    <t xml:space="preserve">10.1016/j.asoc.2023.110540</t>
  </si>
  <si>
    <t xml:space="preserve">AGORA anonimiza documentos de instituciones públicas españolas; antecedente en español.</t>
  </si>
  <si>
    <t xml:space="preserve">Policial y clínico</t>
  </si>
  <si>
    <t xml:space="preserve">Informes policiales y médicos</t>
  </si>
  <si>
    <t xml:space="preserve">Comparación de configuraciones NER</t>
  </si>
  <si>
    <t xml:space="preserve">Public institutions, such as law enforcement agencies or health centers, have a vast volume of unstructured text documents, e.g. police reports. Currently, before this data can be shared (e.g. with research institutions), it must go through a lengthy and costly human anonymization procedure. This paper addresses this issue by presenting AGORA, a cutting-edge tool that automatically identifies key entities and anonymizes sensitive data in text documents. AGORA has been developed in partnership with the Spanish National Office Against Hate Crimes and validated in the police and medical domains. This tool allows to export both anonymized texts and identified entities to structured files, thus, simplifying its exploitation for analysis purposes. Also, AGORA is capable of plotting the location entities identified in the documents, as well as obtaining and displaying relevant information from their geographical surroundings. Thus, it simplifies the task of generating comprehensive datasets for subsequent data analysis or predictive tasks. Its main goal is to foster cooperation between public institutions and research centers by easing document sharing as well as serving as a foundation for addressing succeeding phases in data science. The paper conducts a comprehensive assessment of the literature on Named Entity Recognition methodologies and technologies. Followed by extensive computational experiments to identify the best configuration for the NER models embedded in AGORA which include both successful state-of-the-art model setups and novelly proposed ones. Finally, the methodology, conclusions and software provided can be easily reused in similar application scenarios. © 2023 The Author(s)</t>
  </si>
  <si>
    <t xml:space="preserve">S065</t>
  </si>
  <si>
    <t xml:space="preserve">Sheela S.; Suvarna M.D.; Kusuma M.; Chaithrashree S.; Raksha P.</t>
  </si>
  <si>
    <t xml:space="preserve">Blockchain - Enabled Hybrid Approach for Reliable Detection and Privacy Preservation of PII</t>
  </si>
  <si>
    <t xml:space="preserve">3rd International Conference on Emerging Computation and Information Technologies, ICECIT 2025 - Book of Abstracts</t>
  </si>
  <si>
    <t xml:space="preserve">10.1109/ICECIT67774.2025.11450940</t>
  </si>
  <si>
    <t xml:space="preserve">Regex, spaCy y BERT combinados, con OCR para documentos escaneados; versión previa del estudio S046.</t>
  </si>
  <si>
    <t xml:space="preserve">Mejor que los modelos solos (sin valores en el abstract)</t>
  </si>
  <si>
    <t xml:space="preserve">In this era of digital services, security of Personally Identifiable Information (PII) is mandatory to prevent data breaches and identity theft. This paper presents a hybrid PII detection and secure verification system integrating rule-based regular expressions, transformer-based spaCy NLP, and BERT models that are balanced between accuracy and context correctness for various document formats. The hybrid method leverages the advantages of the two methods, leading to improved detection performance than standalone models, as demonstrated on a synthetic Indian PII dataset. For privacy management, a double hashing method with a blockchain support using SHA256 ensures tamper-proof, immovable storage of PII fingerprints without revealing raw data. An. OTP-based authentication secures user entry, and scanned PDFs and images are processed by the system via OCR to identify and validate PII. The hybrid model offers a. robust and privacy-enhancing solution to identity authentication. that covers scalability, interpretability, and security loopholes. of current methods. © 2025 IEEE.</t>
  </si>
  <si>
    <t xml:space="preserve">S066</t>
  </si>
  <si>
    <t xml:space="preserve">Dilmaç F.; Alpkocak A.</t>
  </si>
  <si>
    <t xml:space="preserve">De-Identification of Electronic Health Records Using Deep Learning and Transformers</t>
  </si>
  <si>
    <t xml:space="preserve">Applied Sciences (Switzerland)</t>
  </si>
  <si>
    <t xml:space="preserve">10.3390/app16041692</t>
  </si>
  <si>
    <t xml:space="preserve">Compara BiLSTM y BiLSTM-CRF con transformers ajustados; los transformers superan a los modelos secuenciales.</t>
  </si>
  <si>
    <t xml:space="preserve">Turco</t>
  </si>
  <si>
    <t xml:space="preserve">Historias clínicas turcas anotadas (publicadas)</t>
  </si>
  <si>
    <t xml:space="preserve">F1 macro 92,20 % (transformers); 83,00 % (BiLSTM-CRF)</t>
  </si>
  <si>
    <t xml:space="preserve">Adoption of electronic health records (EHRs) has significantly advanced healthcare by enabling extensive data storage and analysis for clinical decisions and research. However, sensitive personally identifiable information (PII) within EHRs presents major challenges concerning patient privacy, data security, and regulatory compliance. Effective automated de-identification techniques for detecting and removing protected health information (PHI) are thus essential. This study presents one of the first focused studies on Turkish EHR de-identification, comparing traditional sequence-based neural architectures with advanced transformer-based large language models (LLMs) for PHI detection. We introduce and publicly release a manually annotated benchmark dataset of TEHRs, covering diverse PHI types, supporting further research in Turkish clinical text. Two methodologies were evaluated: bidirectional long short-term memory (BiLSTM) models (with and without Conditional Random Fields (CRFs)) and six fine-tuned pre-trained LLMs. Experiments demonstrated the superior performance of transformer-based LLMs, achieving a macro F1 score of 92.20%, significantly outperforming traditional methods. Among sequence-based models, BiLSTM + CRF attained an 83.00% F1 score, exceeding the baseline BiLSTM 78.40%. Results highlight the potential of transformer-based models for privacy-preserving Turkish clinical text and underscore the importance of annotated benchmark datasets. © 2026 by the authors.</t>
  </si>
  <si>
    <t xml:space="preserve">S067</t>
  </si>
  <si>
    <t xml:space="preserve">Kondru V.S.A.; Kasukurthi V.R.</t>
  </si>
  <si>
    <t xml:space="preserve">DLGNet: A Deep Learning and Generative Framework for Privacy-preserving PII De-identification with Semantic Verification</t>
  </si>
  <si>
    <t xml:space="preserve">International Journal of Intelligent Engineering and Systems</t>
  </si>
  <si>
    <t xml:space="preserve">10.22266/ijies2026.0930.53</t>
  </si>
  <si>
    <t xml:space="preserve">DeBERTa más verificación semántica con un LLM y reemplazo por tipo; reporta una métrica orientada al recall, como el F2 de este trabajo.</t>
  </si>
  <si>
    <t xml:space="preserve">Salud, educación y empresa</t>
  </si>
  <si>
    <t xml:space="preserve">P 90,3 %; R 94,7 %; F1 92,4 %; Fβ (β = 5) 94,52 %</t>
  </si>
  <si>
    <t xml:space="preserve">The rapid growth of unstructured textual data in domains such as healthcare, education, and enterprise systems has increased the risk of inadvertent exposure of Personally Identifiable Information (PII). Effective de-identification is essential to enable secure data sharing while preserving privacy and regulatory compliance. Existing approaches, including rule-based and deep learning-based Named Entity Recognition (NER) methods, primarily focus on detection and often lack contextual validation and robust replacement mechanisms, leading to information loss or residual privacy risks. This work proposes DLGNet, a pipeline-based integrated framework PII de-identification framework that integrates DeBERTa-based token-level detection, LLM-based semantic verification, and type-aware replacement. A BIO-tagged DeBERTa model identifies candidate PII spans, which are refined using a TinyLlama-based semantic verification module for contextual validation. Detected entities are then replaced using a hybrid generative and rule-based strategy to ensure irreversible transformation while preserving textual coherence. Experimental results demonstrate strong recall-oriented performance, achieving precision of 90.3%, recall of 94.7%, F1-score of 92.4%, and Fβ-score (β = 5) of 94.52%. Utility evaluation shows a length ratio of 0.96 and token overlap of 0.73, indicating effective preservation of textual structure and semantics. The proposed framework provides a unified and practical solution for privacy-preserving text processing by jointly improving detection accuracy, contextual reliability, and data utility. This article is licensed under a Creative Commons Attribution-ShareAlike 4.0 International License. License details: https://creativecommons.org/licenses/by-sa/4.0/</t>
  </si>
  <si>
    <t xml:space="preserve">S068</t>
  </si>
  <si>
    <t xml:space="preserve">Deußer T.; Hahnbück M.; Uelwer T.; Zhao C.; Bauckhage C.; Sifa R.</t>
  </si>
  <si>
    <t xml:space="preserve">Resource-Efficient Anonymization of Textual Data via Knowledge Distillation from Large Language Models</t>
  </si>
  <si>
    <t xml:space="preserve">Proceedings - International Conference on Computational Linguistics, COLING</t>
  </si>
  <si>
    <t xml:space="preserve">Destila un LLM en un NER pequeño con regex para anonimizar sin enviar datos a una API.</t>
  </si>
  <si>
    <t xml:space="preserve">Protecting personal and sensitive information in textual data is increasingly crucial, especially when leveraging large language models (LLMs) that may pose privacy risks due to their API-based access. We introduce a novel approach and pipeline for anonymizing text across arbitrary domains without the need for manually labeled data or extensive computational resources. Our method employs knowledge distillation from LLMs into smaller encoder-only models via named entity recognition (NER) coupled with regular expressions to create a lightweight model capable of effective anonymization while preserving the semantic and contextual integrity of the data. This reduces computational overhead, enabling deployment on less powerful servers or even personal computing devices. Our findings suggest that knowledge distillation offers a scalable, resource-efficient pathway for anonymization, balancing privacy preservation with model performance and computational efficiency. ©2025 Association for Computational Linguistics.</t>
  </si>
  <si>
    <t xml:space="preserve">S069</t>
  </si>
  <si>
    <t xml:space="preserve">Bang G.; Kim D.; Kim D.; Min M.</t>
  </si>
  <si>
    <t xml:space="preserve">Adaptive PII Detection via Evolutionary Orchestration and Multi-agent Debate</t>
  </si>
  <si>
    <t xml:space="preserve">10.1007/978-981-92-1947-6_42</t>
  </si>
  <si>
    <t xml:space="preserve">Sistema multiagente de LLM que se adapta a esquemas de PII distintos; usa AI4Privacy, como este trabajo.</t>
  </si>
  <si>
    <t xml:space="preserve">Nemotron-PII, AI4Privacy (pii-masking-200k y open-pii-masking-500k)</t>
  </si>
  <si>
    <t xml:space="preserve">Desempeño competitivo en cero ejemplos</t>
  </si>
  <si>
    <t xml:space="preserve">The definition of Personally Identifiable Information (PII) is fluid across legal jurisdictions and domain-specific schemas. Consequently, static Named Entity Recognition (NER) models often become brittle on heterogeneous datasets, while monolithic prompts suffer from attention degradation and hallucination when extracting extensive entity taxonomies. In this work, we propose a novel framework that reframes PII detection as a dynamic alignment problem rather than a static classification task. Our system features a Schema-Agnostic Orchestrator that dynamically decomposes target labels into semantic clusters, coupled with an Evolutionary Prompt Optimizer that automates the refinement of agent instructions using k-shot feedback. Furthermore, we integrate an uncertainty-aware debate protocol to resolve inter-agent conflicts through deliberative reasoning. Experiments on Nemotron-PII, AI4Privacy benchmarks (pii-masking-200k and open-pii-masking-500k) demonstrate that our adaptive system achieves competitive or superior performance against larger static baselines despite its smaller parameter footprint, establishing a new state-of-the-art in zero-shot PII adaptation. © The Author(s), under exclusive license to Springer Nature Singapore Pte Ltd. 2027.</t>
  </si>
  <si>
    <t xml:space="preserve">S070</t>
  </si>
  <si>
    <t xml:space="preserve">Chandrashekhar P.S.; Manoj B.V.; Prakash J.S.; Laxman N.M.; Ismail S.A.; Prakash B.V.</t>
  </si>
  <si>
    <t xml:space="preserve">RedactSafe: Blockchain-Based PII Protection for Legal Audits</t>
  </si>
  <si>
    <t xml:space="preserve">10.1007/978-3-032-20907-8_37</t>
  </si>
  <si>
    <t xml:space="preserve">Reglas, ML y OCR para redactar PII en auditorías legales, con almacenamiento en blockchain.</t>
  </si>
  <si>
    <t xml:space="preserve">Legal / auditoría</t>
  </si>
  <si>
    <t xml:space="preserve">Documentos estructurados y no estructurados</t>
  </si>
  <si>
    <t xml:space="preserve">Recall y precisión altos (sin valores)</t>
  </si>
  <si>
    <t xml:space="preserve">Secure handling of Personally Identifiable Information (PII) in document exchange is critical with the advent of the digital age for data privacy as well as regulatory compliance. RedactSafe is an end-to-end framework that carries out automated detection, redaction, and secure storage of PII with the help of state-of-the-art Natural Language Processing methods like Optical Character Recognition (OCR) and Named Entity Recognition (NER). The system integrates rule based approaches with machine learning algorithms to identify sensitive data in both structured and unstructured documents effectively. Identified PII is then redacted and saved on the InterPlanetary File System (IPFS), while integrity and access history are recorded immutably using Ethereum smart contracts. A blended access control system, combining Attribute-Based Access Control (ABAC) and Role-Based Access Control (RBAC), restricts the ability of unauthorized users to view complete documents, with each request logged on-chain for auditing. In Experimental results, its is observed that there is high recall and precision in detecting PII, providing its effectiveness in maintaining documents confidential while remaining easy to use. The novelty of this work lies in its integrated approachmerging PII detection, redaction, audits logs and dynamic access. In sensitive environment, RedactSafe gives a scalable, privacy-protecting, and decentralized approach to secure document workflows. © The Author(s), under exclusive license to Springer Nature Switzerland AG 2026.</t>
  </si>
  <si>
    <t xml:space="preserve">S071</t>
  </si>
  <si>
    <t xml:space="preserve">Sundrelingam V.; Parimoo S.; Pogacar F.; Koppula R.; Shin S.; Pou-Prom C.; Roberts S.B.; Verma A.A.; Razak F.</t>
  </si>
  <si>
    <t xml:space="preserve">pyDeid: an improved, fast, flexible, and generalizable rule-based approach for deidentification of free-text medical records</t>
  </si>
  <si>
    <t xml:space="preserve">JAMIA Open</t>
  </si>
  <si>
    <t xml:space="preserve">10.1093/jamiaopen/ooae152</t>
  </si>
  <si>
    <t xml:space="preserve">Desidentificación basada en regex y listas, con NER opcional; muestra el equilibrio entre desempeño y velocidad.</t>
  </si>
  <si>
    <t xml:space="preserve">700 notas canadienses, n2c2 y notas sintéticas</t>
  </si>
  <si>
    <t xml:space="preserve">F1 0,904; 0,48 s por nota</t>
  </si>
  <si>
    <t xml:space="preserve">Objectives: Deidentification of personally identifiable information in free-text clinical data is fundamental to making these data broadly available for research. However, there exist gaps in the deidentification landscape with regard to the functionality and flexibility of extant tools, as well as suboptimal tradeoffs between deidentification accuracy and speed. To address these gaps and tradeoffs, we develop a new Python-based deidentification software, pyDeid. Materials and Methods: pyDeid uses a combination of regular expression-based rules, fixed exclusion lists and inclusion lists to deidentify free-text data. Additional configurations of pyDeid include optional named entity recognition and custom name lists. We measure its deidentification performance and speed on 700 admission notes from a Canadian hospital, the publicly available n2c2 benchmark dataset of American discharge notes, as well as a synthetic dataset of artificial intelligence (AI) generated admission notes. We also compare its performance with the Physionet De-identification Software and the popular open-source Philter tool. Results: Different configurations of pyDeid outperformed other tools on various metrics, with a “best” accuracy value of 0.988, best precision of 0.889, best recall of 0.950, and best F1 score of 0.904. All configurations of pyDeid were significantly faster than Philter and Physionet Deidentification Software, with the fastest deidentification speed of 0.48 s per note. Discussion and Conclusions: pyDeid allows the flexibility to prioritize between performance and speed, as well as precision and recall, while addressing some of the gaps in functionality left by other tools. pyDeid is also generalizable to domains outside of clinical data and can be further customized for specific contexts or for particular workflows. © The Author(s) 2025.</t>
  </si>
  <si>
    <t xml:space="preserve">S072</t>
  </si>
  <si>
    <t xml:space="preserve">Choudhary S.; Sreya C.K.; Shivani U.; Jayanth; Kumar S.; Dipesh</t>
  </si>
  <si>
    <t xml:space="preserve">RE-DACT: Differential Privacy and Redaction Framework for Sensitive Data in Diverse Formats</t>
  </si>
  <si>
    <t xml:space="preserve">ICRTEECT 2025 - 2nd International Conference on Recent Trends in Electrical, Electronics and Computing Technologies</t>
  </si>
  <si>
    <t xml:space="preserve">10.1109/ICRTEECT67512.2025.11448648</t>
  </si>
  <si>
    <t xml:space="preserve">NER de spaCy con políticas de enmascaramiento configurables y privacidad diferencial para datos tabulares.</t>
  </si>
  <si>
    <t xml:space="preserve">Documentos y datos tabulares</t>
  </si>
  <si>
    <t xml:space="preserve">CSV y documentos de texto</t>
  </si>
  <si>
    <t xml:space="preserve">Redacting sensitive data is vital for protecting privacy, particularly as organizations grow more dependent on sharing, analyzing, and storing information. Neglecting proper redaction can cause major legal, moral, and security issues. In this paper we present RE-DACT, a privacy-preserving framework for redacting and anonymizing sensitive data in both structured (e.g. csv files) and unstructured (e.g. text documents) formats. REDACT combines cutting-edge ML and NLP methodology for achieving data privacy while preserving data utility. For the structured data, we use the PATE-GAN model to generate synthetic datasets which preserve the statistical properties of the original data and while guaranteeing differential privacy. For raw text, it leverages a spaCy-based NER pipeline to extract sensitive entities such as names, dates, organizations and contact details and redact them via configurable masking policies. The framework also preserves the original document layout and formatting to ensure the readability and context, supports fast batch processing for large scale data and could be deployed both in cloud and on-premises. Extensive evaluation results show that RE-DACT achieves highly competitive performance for automatically redacting sensitive information while maintaining data utility and compliance with strict privacy requirements (e.g., GDPR, HIPAA, and CCPA). Our results shows that RE-DACT is a scalable, secure, resilient, and regulatory-compliant answer to contemporary data privacy and overlay matching, and stands as a promising solution for entities having to reconcile data utility with privacy compliance. © 2025 IEEE.</t>
  </si>
  <si>
    <t xml:space="preserve">S073</t>
  </si>
  <si>
    <t xml:space="preserve">Benedetto I.; Koudounas A.; Vaiani L.; Pastor E.; Cagliero L.; Tarasconi F.; Baralis E.</t>
  </si>
  <si>
    <t xml:space="preserve">Boosting court judgment prediction and explanation using legal entities</t>
  </si>
  <si>
    <t xml:space="preserve">Artificial Intelligence and Law</t>
  </si>
  <si>
    <t xml:space="preserve">10.1007/s10506-024-09397-8</t>
  </si>
  <si>
    <t xml:space="preserve">El objetivo es predecir y explicar fallos judiciales; el enmascaramiento de entidades es auxiliar.</t>
  </si>
  <si>
    <t xml:space="preserve">Fallos judiciales de la India</t>
  </si>
  <si>
    <t xml:space="preserve">Desempeño de predicción de fallos</t>
  </si>
  <si>
    <t xml:space="preserve">The automatic prediction of court case judgments using Deep Learning and Natural Language Processing is challenged by the variety of norms and regulations, the inherent complexity of the forensic language, and the length of legal judgments. Although state-of-the-art transformer-based architectures and Large Language Models (LLMs) are pre-trained on large-scale datasets, the underlying model reasoning is not transparent to the legal expert. This paper jointly addresses court judgment prediction and explanation by not only predicting the judgment but also providing legal experts with sentence-based explanations. To boost the performance of both tasks we leverage a legal named entity recognition step, which automatically annotates documents with meaningful domain-specific entity tags and masks the corresponding fine-grained descriptions. In such a way, transformer-based architectures and Large Language Models can attend to in-domain entity-related information in the inference process while neglecting irrelevant details. Furthermore, the explainer can boost the relevance of entity-enriched sentences while limiting the diffusion of potentially sensitive information. We also explore the use of in-context learning and lightweight fine-tuning to tailor LLMs to the legal language style and the downstream prediction and explanation tasks. The results obtained on a benchmark dataset from the Indian judicial system show the superior performance of entity-aware approaches to both judgment prediction and explanation. © The Author(s), under exclusive licence to Springer Nature B.V. 2024.</t>
  </si>
  <si>
    <t xml:space="preserve">S074</t>
  </si>
  <si>
    <t xml:space="preserve">Raffetseder D.; Weilguny C.; Haidinger P.; Pichler H.-P.; Narzt W.</t>
  </si>
  <si>
    <t xml:space="preserve">Beyond the Hype: Assessing Limitations of Large Language Models in Support Ticket Anonymization</t>
  </si>
  <si>
    <t xml:space="preserve">10.1007/978-3-031-93418-6_21</t>
  </si>
  <si>
    <t xml:space="preserve">Compara LLM con una solución basada en transformers para anonimizar tickets; los LLM rinden peor en casos reales.</t>
  </si>
  <si>
    <t xml:space="preserve">Soporte técnico / empresarial</t>
  </si>
  <si>
    <t xml:space="preserve">Tickets de soporte</t>
  </si>
  <si>
    <t xml:space="preserve">In the evolving landscape of Natural Language Processing (NLP), the rapid advancement and success of Large Language Models (LLMs) have been a major talking point, particularly with their potential to outperform existing state-of-the-art technologies in various NLP tasks. Among these tasks, anonymization of unstructured, textual data represents a critical challenge, traditionally addressed by Named Entity Recognition (NER) models. This paper investigates the hype surrounding LLMs, specifically evaluating their effectiveness and applicability in the context of support ticket anonymization by conducting a comparative evaluation, pitting LLMs against an established support ticket anonymization solution that utilizes state-of-the-art transformer architectures for textual data anonymization. Our findings reveal significant limitations of LLMs in terms of overall performance and accuracy, particularly when facing real-world anonymization scenarios. © The Author(s), under exclusive license to Springer Nature Switzerland AG 2025.</t>
  </si>
  <si>
    <t xml:space="preserve">S075</t>
  </si>
  <si>
    <t xml:space="preserve">Żarski T.L.; Janicki A.</t>
  </si>
  <si>
    <t xml:space="preserve">Enhancing Privacy While Preserving Context in Text Transformations by Large Language Models</t>
  </si>
  <si>
    <t xml:space="preserve">Information (Switzerland)</t>
  </si>
  <si>
    <t xml:space="preserve">10.3390/info16010049</t>
  </si>
  <si>
    <t xml:space="preserve">Anonimiza el texto con MITIE, spaCy, regex y LLM antes de usar herramientas en línea, con restitución posterior; cercano al proxy.</t>
  </si>
  <si>
    <t xml:space="preserve">Herramientas en línea</t>
  </si>
  <si>
    <t xml:space="preserve">F1 0,829; contexto preservado en 93,23 % de los casos</t>
  </si>
  <si>
    <t xml:space="preserve">Data security is a critical concern for Internet users, primarily as more people rely on social networks and online tools daily. Despite the convenience, many users are unaware of the risks posed to their sensitive and personal data. This study addresses this issue by presenting a comprehensive solution to prevent personal data leakage using online tools. We developed a conceptual solution that enhances user privacy by identifying and anonymizing named entity classes representing sensitive data while maintaining the original context by swapping source entities for functional data. Our approach utilizes natural language processing methods, combining machine learning tools such as MITIE and spaCy with rule-based text analysis. We employed regular expressions and large language models to anonymize text, preserving its context for further processing or enabling restoration to the original form after transformations. The results demonstrate the effectiveness of our custom-trained models, achieving an F1 score of 0.8292. Additionally, the proposed algorithms successfully preserved context in approximately 93.23% of test cases, indicating a promising solution for secure data handling in online environments. © 2025 by the authors.</t>
  </si>
  <si>
    <t xml:space="preserve">S076</t>
  </si>
  <si>
    <t xml:space="preserve">Osborne J.D.; Trotter A.; O’Leary T.; Coffee C.; Cochran M.D.; Mansilla-Gonzalez L.; Nadimpalli A.; McAnnally A.; Almudaifer A.I.; Curtis J.R.; Aly S.M.; Kennedy R.E.</t>
  </si>
  <si>
    <t xml:space="preserve">A Markov Chain Replacement Strategy for Surrogate Identifiers: Minimizing Re-Identification Risk While Preserving Text Reuse</t>
  </si>
  <si>
    <t xml:space="preserve">10.3390/electronics14193945</t>
  </si>
  <si>
    <t xml:space="preserve">Estrategia de sustitución por sustitutos con cadenas de Markov; trata el reemplazo, no la detección.</t>
  </si>
  <si>
    <t xml:space="preserve">Corpus clínicos de dos instituciones</t>
  </si>
  <si>
    <t xml:space="preserve">Fuga de PHI por documento de 27,1 % a 0,1 %</t>
  </si>
  <si>
    <t xml:space="preserve">“Hiding in Plain Sight” (HIPS) strategies for Personal Health Information (PHI) replace PHI with surrogate values to hinder re-identification attempts. We evaluate three different HIPS strategies for PHI replacement, a standard Consistent replacement strategy, a Random replacement strategy, and a novel Markov model strategy. We evaluate the privacy-preserving benefits and relative utility for information extraction of these strategies on both a simulated PHI distribution and real clinical corpora from two different institutions using a range of false negative error rates (FNER). The Markov strategy consistently outperformed the Consistent and Random substitution strategies on both real data and in statistical simulations. Using FNER ranging from 0.1% to 5%, PHI leakage at the document level could be reduced from 27.1% to 0.1% and from 94.2% to 57.7% with the Markov strategy versus the standard Consistent substitution strategy, at 0.1% and 0.5% FNER, respectively. Additionally, we assessed the generated corpora containing synthetic PHI for reuse using a variety of information extraction methods. Results indicate that modern deep learning methods have similar performance on all strategies, but older machine learning techniques can suffer from the change in context. Overall, a Markov surrogate generation strategy substantially reduces the chance of inadvertent PHI release. © 2025 by the authors.</t>
  </si>
  <si>
    <t xml:space="preserve">S077</t>
  </si>
  <si>
    <t xml:space="preserve">Chandrashekhar P.S.; Prakash J.S.; Laxman N.M.; Ismail S.A.; Prakash B.V.; Asabe J.P.</t>
  </si>
  <si>
    <t xml:space="preserve">RedactSafe: Ensuring PII Security in Legal Audits</t>
  </si>
  <si>
    <t xml:space="preserve">2025 Global Conference in Emerging Technology, GINOTECH 2025</t>
  </si>
  <si>
    <t xml:space="preserve">10.1109/GINOTECH63460.2025.11076720</t>
  </si>
  <si>
    <t xml:space="preserve">Versión previa de RedactSafe (S070): reglas, ML y OCR con control de acceso.</t>
  </si>
  <si>
    <t xml:space="preserve">Currently, the management of PII, particularly when sharing and accessing documents on other platforms in this age of digital transformation, is important. In this paper, an integrated framework that attempts to detect and redact PII will be proposed using advanced NLP techniques, namely NER and OCR. These methods are synergistic in order to detect the sensitive data in the structure and unstructured documents. Our method brings together the combination of the conventional rule-based methods and the modern machine learning algorithms in order to dramatically improve the redaction process for both accuracy and flexibility. Regarding enhancing the security and integrity of the data, we apply blockchain, which applies the on-chain storage and verification processes with the strong feature of being immutable and traceable towards redacted documents. We thus establish an access control scheme as hybrid, combining ABAC and RBAC so that access rights of document access get maintained at a suitably secure level and abide to the standards of extant regulations. Experimentation shows results that this framework can function efficiently for data confidentiality preservation without disturbing the functionality in document sharing, which implies an integral approach for sensitive privacy environments. LATEX.  © 2025 IEEE.</t>
  </si>
  <si>
    <t xml:space="preserve">S078</t>
  </si>
  <si>
    <t xml:space="preserve">Jang S.; Cho Y.; Seong H.; Kim T.; Woo H.</t>
  </si>
  <si>
    <t xml:space="preserve">The Development of a Named Entity Recognizer for Detecting Personal Information Using a Korean Pretrained Language Model</t>
  </si>
  <si>
    <t xml:space="preserve">10.3390/app14135682</t>
  </si>
  <si>
    <t xml:space="preserve">Define un conjunto de etiquetas y una guía de anotación para PII en coreano; antecedente metodológico para lenguas distintas del inglés.</t>
  </si>
  <si>
    <t xml:space="preserve">Conversacional / chatbots</t>
  </si>
  <si>
    <t xml:space="preserve">Coreano</t>
  </si>
  <si>
    <t xml:space="preserve">Conjunto propio con 33 etiquetas de información personal</t>
  </si>
  <si>
    <t xml:space="preserve">F1 0,943</t>
  </si>
  <si>
    <t xml:space="preserve">Social network services and chatbots are susceptible to personal information leakage while facilitating language learning without time or space constraints. Accurate detection of personal information is paramount in avoiding such leaks. Conventionally named entity recognizers commonly used for this purpose often fail owing to errors of unrecognition and misrecognition. Research in named entity recognition predominantly focuses on English, which poses challenges for non-English languages. By specifying procedures for the development of Korean-based tag sets, data collection, and preprocessing, we formulated directions on the application of entity recognition research to non-English languages. Such research could significantly benefit artificial intelligence (AI)-based natural language processing globally. We developed a personal information tag set comprising 33 items and established guidelines for dataset creation, later converting it into JSON format for AI learning. State-of-the-art AI models, BERT and ELECTRA, were employed to implement and evaluate the named entity recognition (NER) model, which achieved an 0.943 F1-score and outperformed conventional recognizers in detecting personal information. This advancement suggests that the proposed NER model can effectively prevent personal information leakage in systems processing interactive text data, marking a significant stride in safeguarding privacy across digital platforms. © 2024 by the authors.</t>
  </si>
  <si>
    <t xml:space="preserve">S079</t>
  </si>
  <si>
    <t xml:space="preserve">Li J.; Yang L.; Peng L.; Zhang S.; Wang P.; Li Z.; Zhao H.</t>
  </si>
  <si>
    <t xml:space="preserve">Semantics-Preserved Distortion for Personal Privacy Protection in Information Management</t>
  </si>
  <si>
    <t xml:space="preserve">10.1007/978-3-031-72344-5_26</t>
  </si>
  <si>
    <t xml:space="preserve">Distorsiona el texto preservando la semántica para evitar memorización; no detecta entidades sensibles.</t>
  </si>
  <si>
    <t xml:space="preserve">Tareas de NER, análisis sintáctico y comprensión lectora</t>
  </si>
  <si>
    <t xml:space="preserve">Divergencia de distribución vecina</t>
  </si>
  <si>
    <t xml:space="preserve">In recent years, machine learning—particularly deep learning—has significantly impacted the field of information management. While several strategies have been proposed to restrict models from learning and memorizing sensitive information from raw texts, this paper suggests a more linguistically-grounded approach to distort texts while maintaining semantic integrity. To this end, we leverage Neighboring Distribution Divergence, a novel metric to assess the preservation of semantic meaning during distortion. Building on this metric, we present two distinct frameworks for semantic-preserving distortion: a generative approach and a substitutive approach. Our evaluations across various tasks, including named entity recognition, constituency parsing, and machine reading comprehension, affirm the plausibility and efficacy of our distortion technique in personal privacy protection. We also test our method against attribute attacks in three privacy-focused assignments within the NLP domain, and the findings underscore the simplicity and efficacy of our data-based improvement approach over structural improvement approaches. Moreover, we explore privacy protection in a specific medical information management scenario, showing our method effectively limits sensitive data memorization, underscoring its practicality. © The Author(s), under exclusive license to Springer Nature Switzerland AG 2024.</t>
  </si>
  <si>
    <t xml:space="preserve">S080</t>
  </si>
  <si>
    <t xml:space="preserve">Psarra E.; Stefanidis K.</t>
  </si>
  <si>
    <t xml:space="preserve">On the Applicability of LLMs and SLMs for Privacy-Preserving Named Entity Recognition in Financial Applications</t>
  </si>
  <si>
    <t xml:space="preserve">10.3390/app16073332</t>
  </si>
  <si>
    <t xml:space="preserve">Compara 15 modelos tipo BERT para PII financiera; los modelos pequeños compiten con los grandes.</t>
  </si>
  <si>
    <t xml:space="preserve">AI4Privacy PII 43K</t>
  </si>
  <si>
    <t xml:space="preserve">Exactitud, P, R y F1</t>
  </si>
  <si>
    <t xml:space="preserve">This work explores how deep learning models, with different numbers of parameters, can be effectively applied to detect personal data within unstructured text using Named Entity Recognition (NER) techniques. We evaluate the performance of various architectures by leveraging a plethora of language models (LMs) consisting of Distilbert-base-uncased, Distilbert-base-cased, Bert-base-uncased, Bert-base-cased, Bert-large-uncased, Bert-large-cased, ModernBERT-base, ModernBERT-large, nomic-BERT-2048, RoBERTa-base, DistilRoBERTa-base, RoBERTa-large, Deberta-v3-xsmall, Deberta-v3-small, and Deberta-v3-base, which are evaluated using the performance indices of accuracy, precision, recall, and F1-score. Our experiments show that some Small Language Models (SLMs) compete equally with some corresponding LLMs (Large Language Models), based on the specific PII (Personally Identifiable Information) dataset, thus enhancing personal data detection, which is of paramount importance in financial applications. Moreover, we proposed a novel architecture based on an optimized transformer fine-tuning strategy to improve PII recognition across diverse contexts and conducted an extensive comparative analysis to evaluate the performance of our proposed architecture in relation to all relevant existing approaches reported in the literature. This evaluation, performed on the AI4Privacy PII 43 K dataset, encompasses every publicly available work we identified and provides a thorough benchmarking of our methods within the current research field. The results highlight both the strengths and limitations of existing solutions and demonstrate the effectiveness of SLMs in addressing the challenges of privacy-preserving information extraction. © 2026 by the authors.</t>
  </si>
  <si>
    <t xml:space="preserve">S081</t>
  </si>
  <si>
    <t xml:space="preserve">Schiezaro M.; Rosa G.; Campos B.A.G.; Pedrini H.</t>
  </si>
  <si>
    <t xml:space="preserve">Guardians of the data: NER and LLMs for effective medical record anonymization in Brazilian Portuguese</t>
  </si>
  <si>
    <t xml:space="preserve">Frontiers in Public Health</t>
  </si>
  <si>
    <t xml:space="preserve">10.3389/fpubh.2025.1717303</t>
  </si>
  <si>
    <t xml:space="preserve">Compara NER con BERT y reescritura generativa con T5 y GPT; los datos sintéticos mejoran la generalización.</t>
  </si>
  <si>
    <t xml:space="preserve">Portugués (Brasil)</t>
  </si>
  <si>
    <t xml:space="preserve">AnonyMed-BR, con registros reales y sintéticos</t>
  </si>
  <si>
    <t xml:space="preserve">F1 &gt; 0,90</t>
  </si>
  <si>
    <t xml:space="preserve">Introduction: The anonymization of medical records is essential to protect patient privacy while enabling the use of clinical data for research and Natural Language Processing (NLP) applications. However, for Brazilian Portuguese, the lack of publicly available and high-quality anonymized datasets limits progress in this area. Methods: In this study, we present AnonyMed-BR, a novel dataset of Brazilian medical records that includes both real and synthetic samples, manually annotated to identify personally identifiable information (PII) such as names, dates, locations, and healthcare identifiers. To benchmark our dataset and assess anonymization performance, we evaluate two anonymization strategies: (i) an extractive strategy based on Named Entity Recognition (NER) using BERT-based models, and (ii) a generative strategy using T5-based and GPT-based models to rewrite texts while masking sensitive entities. We conduct a comprehensive series of experiments to evaluate and compare anonymization strategies. Specifically, we assess the impact of incorporating synthetic generated records on model performance by contrasting models fine-tuned solely on real data with those fine-tuned on synthetic samples. We also investigate whether pre-training on biomedical corpora or task-specific fine-tuning more effectively improves performance in the anonymization task. Finally, to support robust evaluation, we introduce an LLM-as-a-Judge framework that leverages a reasoning Large Language Model (LLM) to score anonymization quality, estimate information loss, and assess reidentification risk. Model performance was primarily evaluated using the F1 score on a held-out test set. Results: All evaluated models achieved good performance in the anonymization task, with the best models reaching F1 scores above 0.90. Both extractive and generative approaches were effective in identifying and masking sensitive entities while preserving the clinical meaning of the texts. Experiments also revealed that including synthetic data improved model generalization, and that task-specific fine-tuning yielded greater performance gains than pre-training the model on biomedical domain. Discussion and conclusion: To the best of our knowledge, AnonyMed-BR is the first manually annotated anonymization dataset for Brazilian Portuguese medical texts, enabling systematic evaluation of both extractive and generative models. The dataset and methodology establish a foundation for privacy-preserving NLP research in the Brazilian healthcare context and the good performance achieved by all models demonstrates the feasibility of developing reliable anonymization systems for Brazilian clinical data. Importantly, the ability to anonymize sensitive information opens opportunities to create new datasets and train models for a variety of downstream tasks in the medical domain, such as clinical outcome prediction, medical entity recognition, diagnostic support, and patient stratification, fostering the growth of NLP research for Brazilian Portuguese healthcare texts. Motivated by our findings, future work includes a deeper exploration of synthetic data generation and utilization. Additionally, we plan to evaluate the models across different languages and textual domains, and to expand the dataset to cover these new languages and domains. These efforts aim to develop more complex anonymization systems with higher generalization capability, ultimately enabling broader applications and safer sharing of data in diverse research and operational settings. All resources are publicly available at https://github.com/venturusbr/AnonyMED-BR. Copyright © 2026 Schiezaro, Rosa, Campos and Pedrini.</t>
  </si>
  <si>
    <t xml:space="preserve">S082</t>
  </si>
  <si>
    <t xml:space="preserve">Sharma B.M.; Malik A.</t>
  </si>
  <si>
    <t xml:space="preserve">Automated Threat Attack Categorisation into Cloud Service Models</t>
  </si>
  <si>
    <t xml:space="preserve">Procedia Computer Science</t>
  </si>
  <si>
    <t xml:space="preserve">10.1016/j.procs.2025.04.144</t>
  </si>
  <si>
    <t xml:space="preserve">Clasifica ataques en servicios de nube; el NER no se usa para información sensible.</t>
  </si>
  <si>
    <t xml:space="preserve">Ciberseguridad / nube</t>
  </si>
  <si>
    <t xml:space="preserve">Exactitud 85 %</t>
  </si>
  <si>
    <t xml:space="preserve">In today's interconnected world, our heavy reliance on cloud-based services for daily tasks raises concerns about the security and privacy of our personal information. Cloud services have become an integral part of our lives, offering convenience and accessibility. However, the shared responsibility model and diverse service architectures of cloud computing necessitate different approaches to security assessment and penetration testing. This paper presents a comprehensive model-based approach that focuses on all three service models of the cloud. by adopting a system and model-based perspective, the study emphasizes on a shared approach to security. The methodology incorporates both white hat and grey hat techniques, which thoroughly test the security of cloud systems, ensuring a robust defense against various potential attacks. In addition to this, we are also present a novel approach for categorization using a combination of Long Short-Term Memory (LSTM) and Word2Vec, with a focus on Named Entity Recognition (NER). This approach achieves an impressive accuracy of 85 percent, which indicates its effectiveness in accurately identifying and categorizing named entities within the text data. The findings contribute in improving the overall security posture of cloud services, providing users with the confidence that their data is well protected. © 2025 The Author(s). Published by Elsevier B.V.</t>
  </si>
  <si>
    <t xml:space="preserve">S083</t>
  </si>
  <si>
    <t xml:space="preserve">Campanile L.; de Biase M.S.; Marrone S.; Marulli F.; Raimondo M.; Verde L.</t>
  </si>
  <si>
    <t xml:space="preserve">Sensitive Information Detection Adopting Named Entity Recognition: A Proposed Methodology</t>
  </si>
  <si>
    <t xml:space="preserve">10.1007/978-3-031-10542-5_26</t>
  </si>
  <si>
    <t xml:space="preserve">Refina las etiquetas de un NER genérico con una taxonomía de dominio y una ventana de contexto.</t>
  </si>
  <si>
    <t xml:space="preserve">Documentos jurídicos en italiano</t>
  </si>
  <si>
    <t xml:space="preserve">Evaluación preliminar</t>
  </si>
  <si>
    <t xml:space="preserve">Protecting and safeguarding privacy has become increasingly important, especially in recent years. The increasing possibilities of acquiring and sharing personal information and data through digital devices and platforms, such as apps or social networks, have increased the risks of privacy breaches. In order to effectively respect and guarantee the privacy and protection of sensitive information, it is necessary to develop mechanisms capable of providing such guarantees automatically and reliably. In this paper we propose a methodology able to automatically recognize sensitive data. A Named Entity Recognition was used to identify appropriate entities. An improvement in the recognition of these entities is achieved by evaluating the words contained in an appropriate context window by assessing their similarity to words in a domain taxonomy. This, in fact, makes it possible to refine the labels of the recognized categories using a generic Named Entity Recognition. A preliminary evaluation of the reliability of the proposed approach was performed. In detail, texts of juridical documents written in Italian were analyzed. © 2022, The Author(s), under exclusive license to Springer Nature Switzerland AG.</t>
  </si>
  <si>
    <t xml:space="preserve">S084</t>
  </si>
  <si>
    <t xml:space="preserve">Sobih M.; Ramsis M.; Sarhan K.; Yasser J.; Gomaa A.</t>
  </si>
  <si>
    <t xml:space="preserve">A BERT-CRF Framework for Enhanced Data Leakage Prevention in Unstructured Text</t>
  </si>
  <si>
    <t xml:space="preserve">Proceedings of the 13th International Japan-Africa Conference on Electronics, Communications, and Computations, JAC-ECC 2025</t>
  </si>
  <si>
    <t xml:space="preserve">10.1109/JAC-ECC67970.2025.11417603</t>
  </si>
  <si>
    <t xml:space="preserve">BERT-CRF para prevención de fuga de datos en correos, chats y documentos empresariales.</t>
  </si>
  <si>
    <t xml:space="preserve">Empresarial / DLP</t>
  </si>
  <si>
    <t xml:space="preserve">43.000 registros con 109 etiquetas de PII</t>
  </si>
  <si>
    <t xml:space="preserve">F1 macro 0,924; caída de 4,25 % con ruido</t>
  </si>
  <si>
    <t xml:space="preserve">Data leakage poses a critical threat to organizational security, with traditional Data Loss Prevention (DLP) systems often failing to detect sensitive information in unstructured text such as emails, chats, and documents. This paper proposes a novel Data Leakage Prevention System (DLPS) that integrates a Bidirectional Encoder Representations from Transformers (BERT) model with a Conditional Random Field (CRF) layer to achieve superior Named Entity Recognition (NER) of Personally Identifiable Information (PII). The model is trained and evaluated on a comprehensive dataset of 43,000 records covering 109 distinct PII labels, substantially extending prior DLP efforts. Experimental results demonstrate a state-of-the-art macro-averaged F1-score of 0.9236, outperforming RoBERTa-DLP (0.9012) and BiLSTM-CRF (0.8421). Robustness analysis shows minimal performance degradation (4.25% drop at 15% character-level noise), confirming resilience under real-world conditions. Beyond accuracy, the system achieves high throughput (12,500 tokens/ sec) with a compact memory footprint (480 MB), enabling scalable deployment in enterprise environments. These contributions position BERT-CRF as a practical, accurate, and compliance-ready solution for modern DLP infrastructures, supporting regulatory frameworks such as GDPR, HIPAA, and PCI-DSS. © 2025 IEEE.</t>
  </si>
  <si>
    <t xml:space="preserve">S085</t>
  </si>
  <si>
    <t xml:space="preserve">Ye J.; Yuan X.; Qiu X.</t>
  </si>
  <si>
    <t xml:space="preserve">Cross-Domain Transfer and Few-Shot Learning for Personal Identifiable Information Recognition</t>
  </si>
  <si>
    <t xml:space="preserve">10.1007/978-981-95-4788-3_17</t>
  </si>
  <si>
    <t xml:space="preserve">Mide la transferencia entre dominios del reconocimiento de PII; respalda la limitación de transferir desde MEDDOCAN.</t>
  </si>
  <si>
    <t xml:space="preserve">Clínico, legal y biografías</t>
  </si>
  <si>
    <t xml:space="preserve">i2b2, TAB y Wikipedia</t>
  </si>
  <si>
    <t xml:space="preserve">Transferencia entre dominios</t>
  </si>
  <si>
    <t xml:space="preserve">Accurate recognition of personally identifiable information (PII) is central to automated text anonymization. This paper investigates the effectiveness of cross-domain model transfer, multi-domain data fusion, and sample-efficient learning for PII recognition. Using annotated corpora from healthcare (I2B2), legal (TAB), and biography (Wikipedia), we evaluate models across four dimensions: in-domain performance, cross-domain transferability, fusion, and few-shot learning. Results show legal-domain data transfers well to biographical texts, while medical domains resist incoming transfer. Fusion benefits are domain-specific, and high-quality recognition is achievable with only 10% of training data in low-specialization domains. © The Author(s), under exclusive license to Springer Nature Singapore Pte Ltd. 2026.</t>
  </si>
  <si>
    <t xml:space="preserve">S086</t>
  </si>
  <si>
    <t xml:space="preserve">Muhammad R.; Musdholifah A.</t>
  </si>
  <si>
    <t xml:space="preserve">File Classification Containing Secret Key in Git Repository Using Character Level CNN and Shannon Entropy</t>
  </si>
  <si>
    <t xml:space="preserve">Lecture Notes in Electrical Engineering</t>
  </si>
  <si>
    <t xml:space="preserve">10.1007/978-981-97-2977-7_50</t>
  </si>
  <si>
    <t xml:space="preserve">Detecta archivos con claves secretas mediante CNN por caracteres y entropía de Shannon; base del criterio de entropía.</t>
  </si>
  <si>
    <t xml:space="preserve">Software (repositorios Git)</t>
  </si>
  <si>
    <t xml:space="preserve">Archivos de repositorios Git</t>
  </si>
  <si>
    <t xml:space="preserve">Exactitud 96,1 %</t>
  </si>
  <si>
    <t xml:space="preserve">Current technological developments are directly proportional to the number of information technology projects made. This project is usually in the form of a program formed from a code. To facilitate version control and contributions between developers, git tools are usually used which are placed on an online platform such as Github. If a repository on an online platform contains sensitive information such as secret key variables and the repository can be accessed by the public, then this can be used to harm the company or organization that owns the repository. Several ways have been done before to detect this secret key variable by using the regex method and using machine learning to minimize false positive results. In this research, we will try to build a text or file classification model that contains secret key variables using the character level CNN and Shannon entropy. The Shannon entropy algorithm is used during pre-processing to retrieve the group of words with the largest entropy value and the CNN character level will be used because it is considered suitable for this case since the value of the secret key is abstract and does not require a sequence context for the said secret key in a file. The results of this study were able to obtain an accuracy value of 96.1% for the accuracy value for the classification of files containing secret key. © The Author(s), under exclusive license to Springer Nature Singapore Pte Ltd. 2024.</t>
  </si>
  <si>
    <t xml:space="preserve">S087</t>
  </si>
  <si>
    <t xml:space="preserve">Gillette J.B.; Shah S.K.; Tariq Z.; Algamdi S.</t>
  </si>
  <si>
    <t xml:space="preserve">Data protections for minors with named entity recognition</t>
  </si>
  <si>
    <t xml:space="preserve">Proceedings - 2022 IEEE International Conference on Big Data, Big Data 2022</t>
  </si>
  <si>
    <t xml:space="preserve">10.1109/BigData55660.2022.10021086</t>
  </si>
  <si>
    <t xml:space="preserve">NER con BERT que distingue menores de adultos según el contexto.</t>
  </si>
  <si>
    <t xml:space="preserve">2.534 secuencias con 8.770 menciones de menores</t>
  </si>
  <si>
    <t xml:space="preserve">F1 89 % (menores); 61 % (adultos)</t>
  </si>
  <si>
    <t xml:space="preserve">The difference between minors and adults is an important legal distinction codified within multiple legal frameworks. Moreover, the distinction is important information to extract from unstructured text when applying natural language processing tasks such as anonymization, and abuse detection. Despite the value, identifying minors remains a manually performed task of which little research has been dedicated and no benchmarks are established. This paper seeks to address this need with two goals. First, the creation of labelled and publicly available dataset. Second, to demonstrate proof-of-concept with a BERT named entity recognition model, fine-tuned to make the subject distinction based on surrounding context. Toward this end, we created a custom dataset consisting of 2,534 sequences with 8,770 labelled instances of minors. This data was used to fine-tune a BERT named entity recognition model which demonstrated context aware tagging of minors versus adults. The model achieved an 89% f1 score in detecting minors and a 61% f1 score in detecting adults. While the performance of this model may not be suited for a production environment, we have established a starting point for future research in specific privacy protections for minors within a data processing stack. © 2022 IEEE.</t>
  </si>
  <si>
    <t xml:space="preserve">S088</t>
  </si>
  <si>
    <t xml:space="preserve">Koppala V.K.; Adari S.T.; Namin A.S.</t>
  </si>
  <si>
    <t xml:space="preserve">An LLM-Based Multi-Modal Framework for Efficient and Realtime Detection of Sensitive Information Using Speech and Transcribed Data</t>
  </si>
  <si>
    <t xml:space="preserve">Proceedings of the IEEE International Conference on Big Data, BigData</t>
  </si>
  <si>
    <t xml:space="preserve">10.1109/BigData66926.2025.11400743</t>
  </si>
  <si>
    <t xml:space="preserve">Combina reglas, BERT-NER, clasificación sin ejemplos y un LLM para detectar datos sensibles en texto y voz.</t>
  </si>
  <si>
    <t xml:space="preserve">Texto y voz</t>
  </si>
  <si>
    <t xml:space="preserve">Exactitud 95 % en detección</t>
  </si>
  <si>
    <t xml:space="preserve">This paper presents a comprehensive framework for detection of sensitive data along with contextual analysis. The framework combines Large Language Models (LLM) with conventional Natural Language Processing (NLP) techniques. The multi-modal framework process multiple input types including text and speech while providing robust analysis capable of identification of sensitive information across various input domains. The result demonstrates significant improvements in sensitive data detection accuracy through the integration of multiple specialized models such as (1) BART-large-MNLI for 'context analysis', (2) BERT-base-NER for 'entity recognition', and (3) Whisper for 'speech processing'. The framework uses a hybrid approach that combines techniques such as rule-based pattern matching, bag of words analysis, and semantic understanding through zero-shot classification. We have used Meta-Llama-8b as the backend LLM model in the framework. The introduced framework and detection strategy achieve high accuracy rates: 95% in sensitive data detection, 90% in context understanding, and 85% in recommendation relevance. The implementation of a modular architecture of the system ensures efficient processing with GPU acceleration support, maintaining optimal resource utilization (40-60% CPU usage during peak operations) while processing multiple input formats within a few seconds. The implementation demonstrates practical effectiveness in real-world scenarios, with particular strength in handling unstructured data and providing actionable insights through context-aware analysis. © 2025 IEEE.</t>
  </si>
  <si>
    <t xml:space="preserve">S089</t>
  </si>
  <si>
    <t xml:space="preserve">Prado C.B.; Gumiel Y.B.; Schneider E.T.R.; Cintho L.M.M.; de Souza J.V.A.; Oliveira L.E.S.; Paraiso E.C.; Rebelo M.S.; Gutierrez M.A.; Pires F.A.; Krieger J.E.; Moro C.</t>
  </si>
  <si>
    <t xml:space="preserve">De-Identification Challenges in Real-World Portuguese Clinical Texts</t>
  </si>
  <si>
    <t xml:space="preserve">IFMBE Proceedings</t>
  </si>
  <si>
    <t xml:space="preserve">10.1007/978-3-031-49407-9_58</t>
  </si>
  <si>
    <t xml:space="preserve">Diccionarios, normalización fonética y regex para nombres, fechas, credenciales, correos y teléfonos.</t>
  </si>
  <si>
    <t xml:space="preserve">Historias clínicas de cardiología</t>
  </si>
  <si>
    <t xml:space="preserve">93,67 % de documentos desidentificados</t>
  </si>
  <si>
    <t xml:space="preserve">The electronic health record (EHR) data, widely used by hospitals and healthcare professionals, contain valuable information about the patient and treatments and has become increasingly relevant to clinical natural language processing (NLP) tasks. Although the growing number of EHR systems, these medical data contain sensitive information and cannot be released publicly without data security measures and privacy protection. The de-identification process is necessary to detect and remove all sensitive information in EHRs. There are several techniques to de-identify textual data, such as rule-based, machine learning and hybrid methods. This work proposes a new method to de-identify Portuguese clinical data based on dictionaries, phonetic normalization, similarity measures and regular expressions. We used actual EHR cardiology data from a Brazilian hospital to develop an algorithm to identify and replace data such as proper names, birth dates, credentials, emails, and phone numbers. Although still under development, our method correctly de-identified 318 documents (93.67% of the evaluated documents). © 2024, The Author(s), under exclusive license to Springer Nature Switzerland AG.</t>
  </si>
  <si>
    <t xml:space="preserve">S090</t>
  </si>
  <si>
    <t xml:space="preserve">Gentyala S.; Tejasri N.; Mudusu S.K.</t>
  </si>
  <si>
    <t xml:space="preserve">A Multi-Stage NLP Framework for Enterprise Data Protection in Public LLM Interactions</t>
  </si>
  <si>
    <t xml:space="preserve">10.1109/ICIRCA69024.2026.11570292</t>
  </si>
  <si>
    <t xml:space="preserve">Proxy que sanea los prompts antes de enviarlos a LLM públicos con reglas y NER y mide la degradación de la tarea; el antecedente más cercano a este trabajo.</t>
  </si>
  <si>
    <t xml:space="preserve">SEPAD-10K (10.000 prompts empresariales sintéticos)</t>
  </si>
  <si>
    <t xml:space="preserve">97,3 % de prevención de fuga; 4,1 % de falsos positivos; 6,2 % de degradación de la tarea; 81 ms (autorreportadas, no verificadas)</t>
  </si>
  <si>
    <t xml:space="preserve">Abstract y repositorio (texto completo no disponible)</t>
  </si>
  <si>
    <t xml:space="preserve">Consumer-grade Large Language Model (LLM) services have diffused through enterprise environments faster than security teams can respond, creating a data risk category for which existing controls were not designed. Employees routinely paste proprietary source code, personally identifiable information (PII), cryptographic credentials, and confidential business materials into publicly hosted AI assistants (behavior we term Shadow AI usage), exposing organizations to intellectual property loss, regulatory liability, and third-party data retention risks that neither conventional Data Loss Prevention (DLP) nor Cloud Access Security Broker (CASB) tooling adequately addresses. We present CADLP (Context-Aware DLP Proxy for LLMs), a transparent inline proxy that intercepts outbound prompts before they reach external LLM application programming interfaces (APIs), classifies content across four sensitivity dimensions (PII, credentials and secrets, proprietary code, and confidential business context), and applies targeted redaction while retaining enough semantic structure for the downstream model to remain useful. The central technical contribution is the Contextual Sensitivity Classifier (CSC), a four-stage natural language processing (NLP) pipeline combining rule-based pattern matching, a fine-tuned named entity recognition (NER) model with an operational-versus-exemplary disambiguation module, abstract syntax tree (AST) fingerprinting for code intellectual-property detection, and organization-anchored semantic embedding comparison. Sensitive entities are replaced with typed synthetic placeholders by the Utility-Preserving Redaction (UPR) engine, which maintains session-level consistency across multi-turn conversations.Evaluated on SEPAD-10K (10,000 annotated synthetic enterprise prompts), CADLP achieves 97.3% Leakage Prevention Rate, 4.1% False Positive Rate, and 6.2% Task Degradation Score at 81 ms median proxy overhead. The full system is released open-source at https://github.com/sunilgentyala/cadlp. © 2026 IEEE.</t>
  </si>
  <si>
    <t xml:space="preserve">S091</t>
  </si>
  <si>
    <t xml:space="preserve">Rastogi A.; Khare V.</t>
  </si>
  <si>
    <t xml:space="preserve">Automated PII Detection and Redaction in Voice Transcripts Using Multimodal AI: A Framework for Compliance in Customer Service Analytics</t>
  </si>
  <si>
    <t xml:space="preserve">Lecture Notes on Data Engineering and Communications Technologies</t>
  </si>
  <si>
    <t xml:space="preserve">10.1007/978-3-032-23341-7_13</t>
  </si>
  <si>
    <t xml:space="preserve">Marco conceptual para redactar PII en transcripciones de voz; la entrada es audio.</t>
  </si>
  <si>
    <t xml:space="preserve">Voz / atención al cliente</t>
  </si>
  <si>
    <t xml:space="preserve">Mejor recall que solo texto</t>
  </si>
  <si>
    <t xml:space="preserve">The increasing use of AI in customer service introduces significant risks around the handling of sensitive information such as Social Security Numbers, credit card details, and medical identifiers. Traditional text-based redaction techniques, such as regex or NER, struggle with real-world challenges, including transcription errors, accents, and contextual ambiguity. This paper proposes a multimodal framework for automated personally identifiable information (PII) detection and redaction in voice transcripts. The framework integrates acoustic signals, speech-to-text transcripts, and contextual metadata to improve reliability in identifying sensitive data. A pipeline architecture is outlined where audio features complement textual cues, enabling real-time detection and redaction during streaming analytics. The methodology emphasizes conceptual design, qualitative analysis, and case-based reasoning, supplemented by a small-scale proof-of-concept validation on synthetic data demonstrating improved recall over text-only baselines. Illustrative scenarios in healthcare and financial services demonstrate the framework’s compliance benefits, highlighting its ability to reduce regulatory risk and strengthen customer trust. The proposed design supports enterprise-scale deployment. © The Author(s), under exclusive license to Springer Nature Switzerland AG 2026.</t>
  </si>
  <si>
    <t xml:space="preserve">S092</t>
  </si>
  <si>
    <t xml:space="preserve">2nd International Workshop on Deidentification of Medical Record Notes, IW-DMRN 2025</t>
  </si>
  <si>
    <t xml:space="preserve">Conference review</t>
  </si>
  <si>
    <t xml:space="preserve">Presentación de las actas de un taller; no es un estudio.</t>
  </si>
  <si>
    <t xml:space="preserve">The proceedings contain 9 papers. The special focus in this conference is on Deidentification of Medical Record Notes. The topics include: Prompt Engineering and Post-Processing for Sensitive Health Information Recognition; named Entity Recognition in Chinese–English Speech Using Automatic Speech Recognition and Large Language Models; a Two-Stage Generative Framework for Sensitive Health Information Extraction and Temporal Normalization in Medical Records; recognition of Sensitive Personal Data in Doctor-Patient Speech; multistage Automatic Speech Recognition- Named Entity Recognition Framework for Privacy Sensitive Information Recognition in Medical Speech Data; Speech De-identification of Chinese, English and Minnan: Effectiveness of Chinese-based LLM Model and ASR; a Generative Large Language Model–based Approach for Sensitive Data Identification in Medical Speech.</t>
  </si>
  <si>
    <t xml:space="preserve">S093</t>
  </si>
  <si>
    <t xml:space="preserve">Qian M.; Liang Y.</t>
  </si>
  <si>
    <t xml:space="preserve">En-BB-SC: A Multi-Level Framework for Chinese Sensitive Information Detection</t>
  </si>
  <si>
    <t xml:space="preserve">Proceedings of 2025 9th Asian Conference on Artificial Intelligence Technology, ACAIT 2025</t>
  </si>
  <si>
    <t xml:space="preserve">10.1109/ACAIT67930.2025.11521998</t>
  </si>
  <si>
    <t xml:space="preserve">BERT-BiLSTM-Span CRF para información sensible en chino; mejora los límites de entidad.</t>
  </si>
  <si>
    <t xml:space="preserve">F1 96,7 %</t>
  </si>
  <si>
    <t xml:space="preserve">With the rapid development of digital technology, the harm caused by the leakage of Chinese sensitive information is becoming more and more serious. To address this problem, existing methods establish matching rules to detect specific sensitive entities and use machine learning methods to categorize sensitive texts. However, these methods face challenges in contextual analysis and context-specific problems for Chinese language. This paper proposes a solution to the Named Entity Recognition (NER) problem, focusing on the identification of Chinese sensitive information. To overcome the limitations of traditional NER methods in handling complex entity boundaries, we introduce a multi-level framework, En-BB-SC (Enhanced-BERT BiLSTM-Span CRF), designed to enhance the capability of recognizing Chinese sensitive information. Centered around the multi-layer design of "Named Entity + Boundary Annotation + Global Context,"the framework systematically optimizes traditional models. The framework begins with systematic data processing and augmentation, employs BiLSTM to capture bidirectional contextual dependencies in sequences, integrates the Span mechanism to precisely annotate entity boundaries, and leverages global context modeling and semantic fusion to enhance the recognition of long-distance dependencies and nested entities. Experimental results demonstrate that the framework achieves significant improvements in accuracy and F1 score, with an F1 score of 96.7%, particularly excelling in handling long-distance dependencies and complex entities. © 2025 IEEE.</t>
  </si>
  <si>
    <t xml:space="preserve">S094</t>
  </si>
  <si>
    <t xml:space="preserve">Mondal K.; Ebenezar U.S.; Karthikeyan L.; Gururama Senthilvel P.; Preetham B.S.</t>
  </si>
  <si>
    <t xml:space="preserve">Integrating NLP for Intelligent Cybersecurity Risk Detection from Bulletins</t>
  </si>
  <si>
    <t xml:space="preserve">Proceedings of 2025 International Conference on Computing for Sustainability and Intelligent Future, COMP-SIF 2025</t>
  </si>
  <si>
    <t xml:space="preserve">10.1109/COMP-SIF65618.2025.10969858</t>
  </si>
  <si>
    <t xml:space="preserve">Detecta amenazas en boletines de seguridad; no trata información sensible.</t>
  </si>
  <si>
    <t xml:space="preserve">Ciberseguridad</t>
  </si>
  <si>
    <t xml:space="preserve">Boletines de seguridad de IBM</t>
  </si>
  <si>
    <t xml:space="preserve">The rate of developed threats increases and poses challenges when it comes to the recognition of the risks and measures to be taken. Current cybersecurity risk assessment is mainly done using word-of-mouth through reviewed security announcements, vulnerable product or service reports, and threat intelligence data feeds, all of which are time-consuming and often contain human errors. The use of Natural Language Processing (NLP) in cybersecurity brings the efficiency of automation where text information is analyzed with the aim of identifying and categorizing threats in real time. In this paper, NLP techniques including Named Entity Recognition (NER), sentiment analysis and topic modelling are used to analyze the security bulletins and determine the security threats. Supervised, semi-supervised, and unsupervised learning methods of the NLP system can bene fit to mine adequate security-related text data, identify suitable patterns and or make forecasts of susceptible vulnerabilities. The proposed framework is primarily a framework to improve threat intelligence through vulnerability, attack vectors, and related systems connection. In addition, NLP-based risk identification also has several advantages: it increases the accuracy of risk identification and decreases the time for risk detection, as well as strengthens cybersecurity infrastructure. The paper demonstrates that by applying the technique of IBM security bulletins, organizations can reduce the risks and improve the controls effectively. The paper concludes with areas of future work in enhancing the application of NLP techniques in cybersecurity with an agreement on the idea of adaptive models that reflects the dynamic and ever-changing nature and trends of cyber threats. © 2025 IEEE.</t>
  </si>
  <si>
    <t xml:space="preserve">S095</t>
  </si>
  <si>
    <t xml:space="preserve">Shahriar S.; Dara R.; Lund B.; Kamali M.</t>
  </si>
  <si>
    <t xml:space="preserve">A comparative study on textual and multimodal PII detection using large language models</t>
  </si>
  <si>
    <t xml:space="preserve">Computer Standards and Interfaces</t>
  </si>
  <si>
    <t xml:space="preserve">10.1016/j.csi.2026.104185</t>
  </si>
  <si>
    <t xml:space="preserve">Compara LLM con pocos ejemplos para detectar PII; reporta efectos de dominio y el equilibrio entre precisión y recall.</t>
  </si>
  <si>
    <t xml:space="preserve">Varios dominios y multimodal</t>
  </si>
  <si>
    <t xml:space="preserve">Tres dominios textuales y un conjunto multimodal propio</t>
  </si>
  <si>
    <t xml:space="preserve">Precisión y recall por dominio</t>
  </si>
  <si>
    <t xml:space="preserve">Personally identifiable information (PII) detection is foundational to privacy-preserving analytics, compliant data sharing, and safe model training. Traditional rule-based and supervised named entity recognition (NER) pipelines excel on templated fields but are brittle under domain drift and long-tail variants, motivating large language models (LLMs) that generalize via in-context learning. Despite rapid LLM progress, we lack systematic and cross-domain evaluations that reflect redaction-centric error costs and practical deployment constraints. This paper presents an LLM-centric benchmark of PII detection across three textual domains and introduces a carefully annotated multimodal PII dataset to extend beyond text-only settings. Our experiments examine zero-shot and few-shot prompting, quantify prompt sensitivity, and characterize privacy-relevant error modes. We further assess a privacy-oriented, cost-aware baseline that combines a small open-source model with a multi-agent retrieval-augmented workflow, analyzing performance and feasibility for resource-constrained environments. Results highlight domain and modality effects, consistent gains from few-shot prompting (with saturation effects), and precision–recall trade-offs that vary across tasks and models. The proposed agentic retrieval augmented generation (RAG) pipeline approaches, and in some cases exceed the performance of large proprietary models while improving privacy posture and operational cost. The prompts and the multimodal dataset are made publicly available to support reproducibility and future benchmarking. © 2026 The Authors.</t>
  </si>
  <si>
    <t xml:space="preserve">S096</t>
  </si>
  <si>
    <t xml:space="preserve">Feretzakis G.; Verykios V.S.</t>
  </si>
  <si>
    <t xml:space="preserve">Trustworthy AI: Securing Sensitive Data in Large Language Models</t>
  </si>
  <si>
    <t xml:space="preserve">AI (Switzerland)</t>
  </si>
  <si>
    <t xml:space="preserve">Review</t>
  </si>
  <si>
    <t xml:space="preserve">10.3390/ai5040134</t>
  </si>
  <si>
    <t xml:space="preserve">Propone un marco de control de salida de LLM según la confianza del usuario; no tiene evaluación.</t>
  </si>
  <si>
    <t xml:space="preserve">Large language models (LLMs) have transformed Natural Language Processing (NLP) by enabling robust text generation and understanding. However, their deployment in sensitive domains like healthcare, finance, and legal services raises critical concerns about privacy and data security. This paper proposes a comprehensive framework for embedding trust mechanisms into LLMs to dynamically control the disclosure of sensitive information. The framework integrates three core components: User Trust Profiling, Information Sensitivity Detection, and Adaptive Output Control. By leveraging techniques such as Role-Based Access Control (RBAC), Attribute-Based Access Control (ABAC), Named Entity Recognition (NER), contextual analysis, and privacy-preserving methods like differential privacy, the system ensures that sensitive information is disclosed appropriately based on the user’s trust level. By focusing on balancing data utility and privacy, the proposed solution offers a novel approach to securely deploying LLMs in high-risk environments. Future work will focus on testing this framework across various domains to evaluate its effectiveness in managing sensitive data while maintaining system efficiency. © 2024 by the authors.</t>
  </si>
  <si>
    <t xml:space="preserve">S097</t>
  </si>
  <si>
    <t xml:space="preserve">Yuan Z.; Li X.; Lu T.; Cui Z.; Xia A.; Li Q.</t>
  </si>
  <si>
    <t xml:space="preserve">Intelligent Recognition of Sensitive Information in Mobile Office and Leakage Detection System</t>
  </si>
  <si>
    <t xml:space="preserve">Advances in Transdisciplinary Engineering</t>
  </si>
  <si>
    <t xml:space="preserve">10.3233/ATDE250587</t>
  </si>
  <si>
    <t xml:space="preserve">NER, clasificadores y coincidencia de palabras clave con puntaje de riesgo para datos sensibles en oficina móvil.</t>
  </si>
  <si>
    <t xml:space="preserve">Empresarial / oficina móvil</t>
  </si>
  <si>
    <t xml:space="preserve">Exactitud y uso de recursos</t>
  </si>
  <si>
    <t xml:space="preserve">With the increasing reliance on mobile office systems for business and personal tasks, the protection of sensitive information has become a critical concern. The rise in data breaches and the potential risks associated with unauthorized access to confidential data necessitate the development of advanced solutions for secure data management in mobile environments. This paper presents a comprehensive approach to the intelligent recognition and protection of sensitive information within mobile office systems. The proposed system integrates machine learning (ML), natural language processing (NLP), and anomaly detection algorithms to identify, monitor, and mitigate risks related to data leakage. NLP techniques such as Named Entity Recognition (NER) and text classification algorithms, including Support Vector Machines (SVM) and deep learning models, are employed to accurately identify sensitive data. Additionally, data anomaly detection methods using unsupervised learning, such as K-means clustering and autoencoders, are applied to detect unusual behavior indicative of potential breaches. The system also incorporates contextual awareness and risk scoring mechanisms, considering factors like device type, location, and access time. Data leakage prevention (DLP) algorithms further enhance the system's ability to protect sensitive information by using keyword matching, fingerprinting, and advanced content analysis. Extensive performance testing evaluates the system's accuracy, scalability, and resource usage, demonstrating its strong performance in detecting sensitive data. The results also provide insights into the trade-offs between accuracy, computational demands, and memory usage. Ultimately, this research offers a practical solution for safeguarding sensitive information in mobile office systems, providing businesses with a robust tool to mitigate the risks of data leaks and ensure compliance with data protection regulations.  © 2025 The Authors.</t>
  </si>
  <si>
    <t xml:space="preserve">S098</t>
  </si>
  <si>
    <t xml:space="preserve">Azzouzi M.E.; Coatrieux G.; Bellafqira R.; Delamarre D.; Riou C.; Oubenali N.; Cabon S.; Cuggia M.; Bouzillé G.</t>
  </si>
  <si>
    <t xml:space="preserve">Automatic de-identification of French electronic health records: a cost-effective approach exploiting distant supervision and deep learning models</t>
  </si>
  <si>
    <t xml:space="preserve">10.1186/s12911-024-02422-5</t>
  </si>
  <si>
    <t xml:space="preserve">Supervisión distante para reducir el costo de anotar datos de desidentificación en francés.</t>
  </si>
  <si>
    <t xml:space="preserve">Francés</t>
  </si>
  <si>
    <t xml:space="preserve">Historias clínicas del CHU de Rennes</t>
  </si>
  <si>
    <t xml:space="preserve">F1 96,96 % (BiLSTM-CRF con Flair y FastText)</t>
  </si>
  <si>
    <t xml:space="preserve">Background: Electronic health records (EHRs) contain valuable information for clinical research; however, the sensitive nature of healthcare data presents security and confidentiality challenges. De-identification is therefore essential to protect personal data in EHRs and comply with government regulations. Named entity recognition (NER) methods have been proposed to remove personal identifiers, with deep learning-based models achieving better performance. However, manual annotation of training data is time-consuming and expensive. The aim of this study was to develop an automatic de-identification pipeline for all kinds of clinical documents based on a distant supervised method to significantly reduce the cost of manual annotations and to facilitate the transfer of the de-identification pipeline to other clinical centers. Methods: We proposed an automated annotation process for French clinical de-identification, exploiting data from the eHOP clinical data warehouse (CDW) of the CHU de Rennes and national knowledge bases, as well as other features. In addition, this paper proposes an assisted data annotation solution using the Prodigy annotation tool. This approach aims to reduce the cost required to create a reference corpus for the evaluation of state-of-the-art NER models. Finally, we evaluated and compared the effectiveness of different NER methods. Results: A French de-identification dataset was developed in this work, based on EHRs provided by the eHOP CDW at Rennes University Hospital, France. The dataset was rich in terms of personal information, and the distribution of entities was quite similar in the training and test datasets. We evaluated a Bi-LSTM + CRF sequence labeling architecture, combined with Flair + FastText word embeddings, on a test set of manually annotated clinical reports. The model outperformed the other tested models with a significant F1 score of 96,96%, demonstrating the effectiveness of our automatic approach for deidentifying sensitive information. Conclusions: This study provides an automatic de-identification pipeline for clinical notes, which can facilitate the reuse of EHRs for secondary purposes such as clinical research. Our study highlights the importance of using advanced NLP techniques for effective de-identification, as well as the need for innovative solutions such as distant supervision to overcome the challenge of limited annotated data in the medical domain. © The Author(s) 2024.</t>
  </si>
  <si>
    <t xml:space="preserve">S099</t>
  </si>
  <si>
    <t xml:space="preserve">Vakili T.; Lamproudis A.; Henriksson A.; Dalianis H.</t>
  </si>
  <si>
    <t xml:space="preserve">Downstream Task Performance of BERT Models Pre-Trained Using Automatically De-Identified Clinical Data</t>
  </si>
  <si>
    <t xml:space="preserve">2022 Language Resources and Evaluation Conference, LREC 2022</t>
  </si>
  <si>
    <t xml:space="preserve">Mide si desidentificar el corpus afecta tareas posteriores; no aporta a la detección.</t>
  </si>
  <si>
    <t xml:space="preserve">Sueco</t>
  </si>
  <si>
    <t xml:space="preserve">Corpus clínico sueco</t>
  </si>
  <si>
    <t xml:space="preserve">Desempeño en seis tareas posteriores</t>
  </si>
  <si>
    <t xml:space="preserve">Automatic de-identification is a cost-effective and straightforward way of removing large amounts of personally identifiable information from large and sensitive corpora. However, these systems also introduce errors into datasets due to their imperfect precision. These corruptions of the data may negatively impact the utility of the de-identified dataset. This paper de-identifies a very large clinical corpus in Swedish either by removing entire sentences containing sensitive data or by replacing sensitive words with realistic surrogates. These two datasets are used to perform domain adaptation of a general Swedish BERT model. The impact of the de-identification techniques is assessed by training and evaluating the models using six clinical downstream tasks. The results are then compared to a similar BERT model domain-adapted using an unaltered version of the clinical corpus. The results show that using an automatically de-identified corpus for domain adaptation does not negatively impact downstream performance. We argue that automatic de-identification is an efficient way of reducing the privacy risks of domain-adapted models and that the models created in this paper should be safe to distribute to other academic researchers. © European Language Resources Association (ELRA), licensed under CC-BY-NC-4.0.</t>
  </si>
  <si>
    <t xml:space="preserve">S100</t>
  </si>
  <si>
    <t xml:space="preserve">Mishra K.; Pagare H.; Sharma K.</t>
  </si>
  <si>
    <t xml:space="preserve">A hybrid rule-based NLP and machine learning approach for PII detection and anonymization in financial documents</t>
  </si>
  <si>
    <t xml:space="preserve">Scientific Reports</t>
  </si>
  <si>
    <t xml:space="preserve">10.1038/s41598-025-04971-9</t>
  </si>
  <si>
    <t xml:space="preserve">Reglas más un NER propio para documentos financieros, con datos sintéticos validados en documentos reales.</t>
  </si>
  <si>
    <t xml:space="preserve">Documentos financieros sintéticos y reales</t>
  </si>
  <si>
    <t xml:space="preserve">P 94,7 %; R 89,4 %; F1 91,1 %</t>
  </si>
  <si>
    <t xml:space="preserve">Safeguarding Personally Identifiable Information (PII) in financial documents is essential to prevent data breaches and maintain regulatory compliance. This research presents a scalable hybrid approach that integrates rule-based Natural Language Processing (NLP), Machine Learning (ML) approaches, and a custom Named Entity Recognition (NER) model for the accurate detection and anonymization of Personally Identifiable Information (PII). A varied and accurate synthetic dataset was created to replicate genuine financial document formats, enhancing model training and assessment. The model has attained a precision of 94.7%, a recall of 89.4%, an F1-score of 91.1%, and an overall accuracy of 89.4% on synthetic datasets. Additional validation on actual financial documents, such as audit reports and vendor bills, revealed a consistent performance with an accuracy of 93%. The study utilizes confusion matrices, ROC curves, and precision-recall curves to evaluate the model which further validates the model’s capabilities and generalization ability. The suggested approach provides a robust and efficient solution for protecting sensitive information in operational financial contexts, markedly enhancing current methods for PII protection. © The Author(s) 2025.</t>
  </si>
  <si>
    <t xml:space="preserve">S101</t>
  </si>
  <si>
    <t xml:space="preserve">Pozzi R.; Rubini R.; Bernasconi C.; Palmonari M.</t>
  </si>
  <si>
    <t xml:space="preserve">Named Entity Recognition and Linking for Entity Extraction from Italian Civil Judgements</t>
  </si>
  <si>
    <t xml:space="preserve">10.1007/978-3-031-47546-7_13</t>
  </si>
  <si>
    <t xml:space="preserve">Extrae y enlaza entidades en fallos judiciales; la anonimización es solo una aplicación posible.</t>
  </si>
  <si>
    <t xml:space="preserve">146 fallos civiles anotados</t>
  </si>
  <si>
    <t xml:space="preserve">Desempeño de NER y enlazado</t>
  </si>
  <si>
    <t xml:space="preserve">The extraction of named entities from court judgments is useful in several downstream applications, such as document anonymization and semantic search engines. In this paper, we discuss the application of named entity recognition and linking (NEEL) to extract entities from Italian civil court judgments. To develop and evaluate our work, we use a corpus of 146 manually annotated court judgments. We use a pipeline that combines a transformer-based Named Entity Recognition (NER) component, a transformer-based Named Entity Linking (NEL) component, and a NIL prediction component. While the NEL and NIL prediction components are not fine-tuned on domain-specific data, the NER component is fine-tuned on the annotated corpus. In addition, we compare different masked language modeling (MLM) adaptation strategies to optimize the result and investigate their impact. Results obtained on a 30-document test set reveal satisfactory performance, especially on the NER task, and emphasize challenges to improve NEEL on similar documents. Our code is available on GitHub.(https://github.com/rpo19/pozzi_aixia_2023. We are not allowed to publish sensitive data and the NER models trained on sensitive data.) © 2023, The Author(s), under exclusive license to Springer Nature Switzerland AG.</t>
  </si>
  <si>
    <t xml:space="preserve">S102</t>
  </si>
  <si>
    <t xml:space="preserve">Kwon S.; Son W.; Lemieux V.; Kang N.-G.; Lee J.-H.</t>
  </si>
  <si>
    <t xml:space="preserve">Hybrid PII Masking and RAG-based LLM Inference for Privacy-Preserving QA on Clio-X</t>
  </si>
  <si>
    <t xml:space="preserve">ICEA 2025 - International Conference on Intelligent Computing and its Emerging Applications</t>
  </si>
  <si>
    <t xml:space="preserve">10.1145/3803817.3803826</t>
  </si>
  <si>
    <t xml:space="preserve">Compara regex, Presidio, Stanza y LLaMA3 para enmascarar PII en consultas a un LLM local con RAG.</t>
  </si>
  <si>
    <t xml:space="preserve">Gobierno / LLM</t>
  </si>
  <si>
    <t xml:space="preserve">Documentos de instituciones públicas</t>
  </si>
  <si>
    <t xml:space="preserve">LLaMA3: precisión 100 %, recall 91,7 %</t>
  </si>
  <si>
    <t xml:space="preserve">With the global acceleration of digital transformation across both public and private sectors, the volume of documents that must be generated and managed is increasing exponentially. Consequently, one of the most pressing challenges emerging in this domain is the need to rapidly and accurately retrieve necessary information from vast digital archives to enhance organizational efficiency and decision-making capabilities. This has led to a growing demand for Large Language Models (LLMs), which have been continuously evolving and are now emerging as a key solution for improving information accessibility. However, documents handled by national public institutions often contain a significant amount of personally identifiable information, which may be included in queries submitted to LLMs. This issue stands in contrast to the philosophy of Clio-X, a recently proposed privacy-preserving decentralized collaboration framework, thereby creating a privacy paradox between the need to leverage AI for improved information access and the obligation to protect sensitive data. To address this paradox, this paper proposes a PII-masked Retrieval-Augmented Generation QA framework that operates in a local environment while ensuring adherence to Clio-X's Compute-to-Data principle. Furthermore, the study conducts an empirical comparison of four masking techniques - rule-based regular expression masking, Presidio-based engine, Stanza NER-based method, and LLaMA3 language model-based approach. Results demonstrate that the LLaMA3-based method achieves the highest accuracy with 100% precision and 91.7% recall, thereby enabling the construction of a reliable Clio-X-based collaborative framework.  © 2025 Copyright held by the owner/author(s).</t>
  </si>
  <si>
    <t xml:space="preserve">S103</t>
  </si>
  <si>
    <t xml:space="preserve">Patel S.; Verma P.</t>
  </si>
  <si>
    <t xml:space="preserve">Detecting Sensitive Information from Documents</t>
  </si>
  <si>
    <t xml:space="preserve">Proceedings of the 6th International Conference on Inventive Research in Computing Applications, ICIRCA 2025</t>
  </si>
  <si>
    <t xml:space="preserve">10.1109/ICIRCA65293.2025.11089654</t>
  </si>
  <si>
    <t xml:space="preserve">BERT ajustado frente a reglas y ML clásico para PII, datos financieros y corporativos; trata los falsos positivos.</t>
  </si>
  <si>
    <t xml:space="preserve">Documentos empresariales</t>
  </si>
  <si>
    <t xml:space="preserve">Documentos de varios formatos</t>
  </si>
  <si>
    <t xml:space="preserve">In the digital era, organizations frequently process large volumes of documents containing sensitive information, including personally identifiable information (PII), financial records, and confidential corporate data. Unauthorized exposure of such data can lead to privacy breaches, legal consequences, and reputational damage. This paper presents a systematic approach to detecting sensitive information using Natural Language Processing (NLP) and deep learning techniques, specifically finetuning BERT for Named Entity Recognition (NER). Our method leverages pre-trained transformer models to accurately identify and classify sensitive entities within documents. We compare traditional rule-based and machine learning methods with deep learning-based approaches, demonstrating the advantages of contextualized language understanding in improving detection accuracy. Additionally, we address key challenges such as context-aware identification, data obfuscation, and false positive mitigation. Experimental results show that our fine-tuned BERT model significantly enhances sensitive information detection across various document formats, making it a valuable tool for compliance monitoring, data protection, and information security.  © 2025 IEEE.</t>
  </si>
  <si>
    <t xml:space="preserve">S104</t>
  </si>
  <si>
    <t xml:space="preserve">Lohr C.; Seiferling M.; Wiesenbach P.; Faller J.; Dieterich C.</t>
  </si>
  <si>
    <t xml:space="preserve">The SURROGATOR Framework for Context-Aware Surrogation of Privacy Sensitive Information in Medical Text</t>
  </si>
  <si>
    <t xml:space="preserve">Studies in Health Technology and Informatics</t>
  </si>
  <si>
    <t xml:space="preserve">10.3233/SHTI260440</t>
  </si>
  <si>
    <t xml:space="preserve">Reemplaza nombres, fechas y lugares por sustitutos realistas; trata el reemplazo, no la detección.</t>
  </si>
  <si>
    <t xml:space="preserve">Alemán (probable)</t>
  </si>
  <si>
    <t xml:space="preserve">Corpus clínico sintético</t>
  </si>
  <si>
    <t xml:space="preserve">F1 NER 0,70 frente a 0,73; reidentificación 50,8 %</t>
  </si>
  <si>
    <t xml:space="preserve">Clinical text cannot be shared freely due to data protection regulations. This paper introduces SURROGATOR, an open-source framework that replaces personal identifiable information with fictitious, high-fidelity synthetic surrogates to maintain text utility for human and artificial intelligence. We focus on the automated replacement of names, dates, and locations. Evaluation on a synthetic clinical corpus demonstrated high data utility, with named entity recognition performance remaining en par with the original text (F1-score of 0.70 vs. 0.73). Furthermore, a re-identification attack using a large language model resulted in an accuracy of 50.8%, which is equivalent to random chance. We conclude that SURROGATOR effectively balances patient privacy and data utility, providing a robust solution for the secure sharing of clinical documents in medical research. © 2026 The Authors.</t>
  </si>
  <si>
    <t xml:space="preserve">S105</t>
  </si>
  <si>
    <t xml:space="preserve">Senthilnathan T.; Hare Preya P.S.</t>
  </si>
  <si>
    <t xml:space="preserve">Cognitive Data Guardian: An Intelligent AI Framework for Secure and Automated Privacy Protection</t>
  </si>
  <si>
    <t xml:space="preserve">Proceedings of 7th International Conference on Intelligent Communication Technologies and Virtual Mobile Networks, ICICV 2026</t>
  </si>
  <si>
    <t xml:space="preserve">10.1109/ICICV68925.2026.11554890</t>
  </si>
  <si>
    <t xml:space="preserve">NER con patrones y un índice de riesgo por documento que decide entre enmascarar, redactar o cifrar; análogo a la heurística de decisión.</t>
  </si>
  <si>
    <t xml:space="preserve">Exactitud 98,9 %; F1 98,3 %; falsos positivos 2,3</t>
  </si>
  <si>
    <t xml:space="preserve">The third reason is the exponential development of digital documentation within businesses that has greatly amplified the risk of vulnerability of the sensitive information of personally identifiable data, financial statements, medical information and confidential company information. Manual redaction and rule-based tools do not always give a contextual meaning and thus there is potential of masking errors and compliance risks. In this paper, the author introduces Cognitive Data Guardian, an intelligent document protection system that is based on AI and is aimed at automated privacy protection. The proposed system combines Natural Language Processing-based Named Entity Recognition with pattern-based detection to detect sensitive entities on multi-format documents such as scanned documents by incorporating OCR. An adaptive masking, redaction, or encryption policy can be achieved by using a dynamic mechanism of risk classification and document risk index. Experimental analysis shows detection accuracy of 98.9%, average F1-score of 98.3%, redaction accuracy of 99.2% and a false positive of 2.3, which are higher than the results with conventional systems of keyword-based evaluation and standalone NER. The system also has a document format preservation of more than 99 % as it is automatically protected. The findings confirm that the suggested hybrid AI model is much more effective in relation to privacy compliance, less manual work, and offers a scalable answer to managing intelligent document security in enterprise settings. © 2026 IEEE.</t>
  </si>
  <si>
    <t xml:space="preserve">S106</t>
  </si>
  <si>
    <t xml:space="preserve">Vı̄ksna R.; Skadina I.</t>
  </si>
  <si>
    <t xml:space="preserve">Anonymise: A Tool for Multilingual Document Pseudonymisation</t>
  </si>
  <si>
    <t xml:space="preserve">10.26615/978-954-452-098-4-154</t>
  </si>
  <si>
    <t xml:space="preserve">Combina listas, regex y NER profundo para seudonimizar documentos en varios idiomas.</t>
  </si>
  <si>
    <t xml:space="preserve">Documentos públicos</t>
  </si>
  <si>
    <t xml:space="preserve">Documentos Word y texto</t>
  </si>
  <si>
    <t xml:space="preserve">Recall alto</t>
  </si>
  <si>
    <t xml:space="preserve">According to the EU legislation, documents containing personal information need to be anonymized before public sharing. However, manual anonymisation is a time-consuming and costly process. Thus, there is a need for a robust text de-identification technique that accurately identifies and replaces personally identifiable information. This paper introduces the Anonymise tool, a system for document de-identification. The tool accepts various text document types (e.g., MS Word or plain-text), de-identifies personal information, and saves the de-identified document in its original format. The tool employs a modular architecture, integrating list-based matching, regular expressions and deep-learning-based named entity recognition to detect text spans for redaction. Our evaluation results demonstrate high recall rates, making Anonymise a reliable solution for ensuring no sensitive information is left exposed. The tool can be accessed through a user-friendly web-based interface or API, offering flexibility for both individual and large-scale document processing needs. 1 By automating document de-identification with high accuracy and efficiency, Anonymise presents a reliable solution for ensuring compliance with EU privacy regulations while reducing the time and cost associated with manual anonymisation. © 2025 Incoma Ltd. All rights reserved.</t>
  </si>
  <si>
    <t xml:space="preserve">S107</t>
  </si>
  <si>
    <t xml:space="preserve">de Gibert O.; García-Pablos A.; Cuadros M.; Melero M.</t>
  </si>
  <si>
    <t xml:space="preserve">Spanish Datasets for Sensitive Entity Detection in the Legal Domain</t>
  </si>
  <si>
    <t xml:space="preserve">Conjuntos jurídicos en español con una taxonomía jerárquica de entidades sensibles; base de la estructura de la taxonomía.</t>
  </si>
  <si>
    <t xml:space="preserve">Cuatro conjuntos MAPA en español</t>
  </si>
  <si>
    <t xml:space="preserve">Validación de los conjuntos con varios modelos</t>
  </si>
  <si>
    <t xml:space="preserve">The de-identification of sensible data, also known as automatic textual anonymisation, is essential for data sharing and reuse, both for research and commercial purposes. The first step for data anonymisation is the detection of sensible entities. In this work, we present four new datasets for named entity detection in Spanish in the legal domain. These datasets have been generated in the framework of the MAPA project, three smaller datasets have been manually annotated and one large dataset has been automatically annotated, with an estimated error rate of around 14%. In order to assess the quality of the generated datasets, we have used them to fine-tune a battery of entity-detection models, using as foundation different pre-trained language models: one multilingual, two general-domain monolingual and one in-domain monolingual. We compare the results obtained, which validate the datasets as a valuable resource to fine-tune models for the task of named entity detection. We further explore the proposed methodology by applying it to a real use case scenario. © European Language Resources Association (ELRA), licensed under CC-BY-NC-4.0.</t>
  </si>
  <si>
    <t xml:space="preserve">S108</t>
  </si>
  <si>
    <t xml:space="preserve">Abdelhakim H.; Zamzam M.; Trapp P.</t>
  </si>
  <si>
    <t xml:space="preserve">FLIX: Federated Learning with Interpretability for Dark Web Text Classification</t>
  </si>
  <si>
    <t xml:space="preserve">International Conference for Innovations in Intelligent Computing and Cybersecurity, IICC 2026 - Part of 2026 16th ICEENG International Congress on Electrical Engineering</t>
  </si>
  <si>
    <t xml:space="preserve">10.1109/IICC69623.2026.11582683</t>
  </si>
  <si>
    <t xml:space="preserve">Clasifica texto de la dark web con aprendizaje federado; no detecta información sensible para protegerla.</t>
  </si>
  <si>
    <t xml:space="preserve">Ciberseguridad / dark web</t>
  </si>
  <si>
    <t xml:space="preserve">DNRTI</t>
  </si>
  <si>
    <t xml:space="preserve">Exactitud 0,82; F1 macro 0,74</t>
  </si>
  <si>
    <t xml:space="preserve">The growing sophistication of cybercriminal activity on the dark web has intensified the need for intelligent and privacy preserving detection systems capable of analyzing sensitive text data across distributed environments. Conventional centralized machine learning models are often unsuitable for this domain, as dark web threat intelligence cannot be aggregated in a single location due to privacy, legal, and operational constraints. This paper presents the Federated Learning with Interpretability for Text classification (FLIX) framework, which enables multiple organizations to collaboratively train a Cyber Bidirectional Encoder Representations from Transformers (CyberBERT) [24] based model without sharing raw data. To ensure confidentiality and integrity during training, the system employs mutual Transport Layer Security (TLS) encryption and isolated model parameter exchange between clients and the server. Beyond improving classification performance, FLIX incorporates a multi method explainability pipeline using SHapley Additive exPlanations (SHAP), Integrated Gradients, attention based visualization, and Local Interpretable Model-agnostic Explanations (LIME) to reveal how the model interprets harmful vocabulary, threat patterns, and contextual signals commonly found in dark web communications. These explanations provide analysts with clearer insight into the linguistic indicators driving model predictions and support transparent threat assessment. Results indicate that the proposed approach achieves an accuracy of 0.82 and a macro averaged F1 score of 0.74 on the Dataset for Named Entity Recognition in Threat Intelligence (DNRTI) [25] while preserving data confidentiality, with performance comparable to centralized approaches, demonstrating the feasibility of combining encrypted federated learning with interpretable deep Natural Language Processing (NLP) for dark web cybersecurity analysis. © 2026 IEEE.</t>
  </si>
  <si>
    <t xml:space="preserve">S109</t>
  </si>
  <si>
    <t xml:space="preserve">De Renzis S.; Dosso D.; Testolin A.</t>
  </si>
  <si>
    <t xml:space="preserve">Exploiting Large Language Models to Train Automatic Detectors of Sensitive Data</t>
  </si>
  <si>
    <t xml:space="preserve">CEUR Workshop Proceedings</t>
  </si>
  <si>
    <t xml:space="preserve">Entrena detectores BERT de datos sensibles con documentos sintéticos generados por LLM; respalda el uso de datos sintéticos.</t>
  </si>
  <si>
    <t xml:space="preserve">Documentos sintéticos generados con LLM</t>
  </si>
  <si>
    <t xml:space="preserve">F1 &gt; 90 %</t>
  </si>
  <si>
    <t xml:space="preserve">This paper describes a machine learning system designed to identify sensitive data within Italian text documents, aligning with the definitions and regulations outlined in the General Data Protection Regulation (GDPR). To overcome the lack of suitable training datasets, which would require the disclosure of sensitive data from real users, the proposed system exploits a Large Language Model (LLM) to generate synthetic documents that can be used to train supervised classifiers to detect the target sensitive data. We show that “artificial” sensitive data can be generated using both proprietary or open source LLMs, demonstrating that the proposed approach can be implemented either using external services or by relying on locally runnable models. We focus on the detection of six key domains of sensitive data, by training supervised classifiers based on the BERT Transformer architecture adapted to carry out text classification and Named-Entity Recognition (NER) tasks. We evaluate the performance of the system using fine-grained metrics, and show that the NER model can achieve a remarkable detection performance (over 90% F1 score), thus confirming the quality of the synthetic datasets generated with both proprietary and open source LLMs. The dataset we generated using the open source model is made publicly available for download. © 2023 Copyright for this paper by its authors.</t>
  </si>
  <si>
    <t xml:space="preserve">S110</t>
  </si>
  <si>
    <t xml:space="preserve">Devadiga M.; Abrari Vajari M.; Qin X.; McRoy S.W.</t>
  </si>
  <si>
    <t xml:space="preserve">Enhancing Data Accessibility through Automated Personally Identifiable Information De-Identification in Crash Narratives</t>
  </si>
  <si>
    <t xml:space="preserve">Transportation Research Record</t>
  </si>
  <si>
    <t xml:space="preserve">10.1177/03611981261447268</t>
  </si>
  <si>
    <t xml:space="preserve">GLiNER ajustado más posprocesamiento por reglas; las reglas recuperan entidades omitidas.</t>
  </si>
  <si>
    <t xml:space="preserve">Transporte / informes policiales</t>
  </si>
  <si>
    <t xml:space="preserve">Narrativas de accidentes anotadas</t>
  </si>
  <si>
    <t xml:space="preserve">F1 &gt; 80 %; 32 % menos falsos negativos con posprocesamiento</t>
  </si>
  <si>
    <t xml:space="preserve">Unstructured crash narratives in police reports contain rich textual information that can uncover key insights into crash circumstances, such as contributing factors and driver behavior, that are often missing from the structured fields of crash data. However, the presence of personally identifiable information (PII) within these narratives, and the lack of scalable, domain-specific redaction tools, limit their broader use because of privacy concerns and legal restrictions. To address this challenge, a scalable, privacy-preserving pipeline for automated PII de-identification from crash narratives was developed and evaluated. The proposed method utilizes a generalist model for named entity recognition using bidirectional transformer (GLiNER), which is known for its strong zero-shot, few-shot, and fine-tuned performance across diverse entity types. The model was fine-tuned on a manually annotated training set to adapt it to the crash narrative domain. It was found that combining this fine-tuned named entity recognition model with a rule-based post-processing module improved PII detection performance by resolving span misalignments and recovering entities that were initially missed. Evaluation on a test set achieved an F1 score above 80%, particularly for frequent PII categories such as names and addresses. Post-processing further reduced false negatives by 32%. The pipeline was developed and tested on local machines to ensure data confidentiality. Additionally, the workflow supports accessibility and future use through GLiNER-Studio, a user-friendly tool that enables non-programmers to fine-tune models on new datasets. This study contributes a practical solution to the need for automated PII de-identification in transportation safety data, enabling secure data sharing and ethical analytics for research and policymaking. © The Author(s) 2026</t>
  </si>
  <si>
    <t xml:space="preserve">S111</t>
  </si>
  <si>
    <t xml:space="preserve">Garza L.; Kotal A.; Piplai A.; Elluri L.; Das P.K.; Chadha A.</t>
  </si>
  <si>
    <t xml:space="preserve">PRvL: Quantifying the Capabilities and Risks of Large Language Models for PII Redaction</t>
  </si>
  <si>
    <t xml:space="preserve">Proceedings - 2025 IEEE 7th International Conference on Trust, Privacy and Security in Intelligent Systems, and Applications, TPS-ISA 2025</t>
  </si>
  <si>
    <t xml:space="preserve">10.1109/TPS-ISA67132.2025.00025</t>
  </si>
  <si>
    <t xml:space="preserve">Evalúa LLM abiertos como redactores de PII con fuga residual y preservación semántica, en infraestructura propia.</t>
  </si>
  <si>
    <t xml:space="preserve">Redacción, preservación semántica, fuga de PII, latencia</t>
  </si>
  <si>
    <t xml:space="preserve">Redacting Personally Identifiable Information (PII) from unstructured text is critical for ensuring data privacy in regulated domains. While earlier approaches have relied on rulebased systems and domain-specific Named Entity Recognition (NER) models, these methods fail to generalize across formats and contexts. Recent advances in Large Language Models (LLMs) offer a promising alternative, yet the effect of architectural and training choices on redaction performance remains underexplored. LLMs have demonstrated strong performance in tasks that require contextual language understanding, including the redaction of PII in free-form text. Prior work suggests that with appropriate adaptation, LLMs can become effective contextual privacy learners. However, the consequences of architectural and training choices for PII Redaction remain underexplored. In this work, we present a comprehensive analysis of LLMs as privacy-preserving PII Redaction systems. We evaluate a range of Large Language Model (LLM) architectures and training strategies for their effectiveness in PII Redaction. Our analysis measures redaction performance, semantic preservation, and PII leakage, and compares these outcomes against latency and computational cost. The results provide practical guidance for configuring LLM-based redactors that are accurate, efficient, and privacy-aware. To support reproducibility and real-world deployment, we release PRvL, an open-source suite of finetuned models, and evaluation tools for general-purpose PII Redaction. PRvL is built entirely on open-source LLMs and supports multiple inference settings for flexibility and compliance. It is designed to be easily customized for different domains and fully operable within secure, self-managed environments. This enables data owners to perform redactions without relying on third-party services or exposing sensitive content beyond their own infrastructure.  © 2025 IEEE.</t>
  </si>
  <si>
    <t xml:space="preserve">S112</t>
  </si>
  <si>
    <t xml:space="preserve">Mosteiro P.; Wang R.; Scheepers F.; Spruit M.</t>
  </si>
  <si>
    <t xml:space="preserve">Investigating De-Identification Methodologies in Dutch Medical Texts: A Replication Study of Deduce and Deidentify</t>
  </si>
  <si>
    <t xml:space="preserve">10.3390/electronics14081636</t>
  </si>
  <si>
    <t xml:space="preserve">Replica Deduce y Deidentify en textos médicos reales y sintéticos; el desempeño cambia entre ambos.</t>
  </si>
  <si>
    <t xml:space="preserve">Neerlandés</t>
  </si>
  <si>
    <t xml:space="preserve">Historias de UMC Utrecht y datos sintéticos de GPT-4</t>
  </si>
  <si>
    <t xml:space="preserve">P, R y F</t>
  </si>
  <si>
    <t xml:space="preserve">Deidentifying sensitive information in electronic health records (EHRs) is increasingly important as legal obligations to data privacy evolve along with the need to protect patient and institutional confidentiality. This study aims to comparatively evaluate the performance of two state-of-the-art deidentification systems, Deduce and Deidentify, on both real-world and synthetic Dutch medical texts, thereby providing insights into their relative strengths and limitations in preserving privacy while maintaining data utility. We employ a replication-extension research design, utilizing two distinct datasets: (1) the Annotation-Based Dataset from the Utrecht University Medical Center (UMC Utrecht), comprising manually annotated patient records spanning 1987 to 2021, and (2) the Synthetic Dataset, generated using a two-step process involving OpenAI’s GPT-4 model. Utilizing precision, recall, and (Formula presented.) scores as evaluation metrics, we uncover the relative strengths and limitations of the two methods. Our findings indicate that both techniques show variable performance across different entities of deidentifying text information. Deduce outperforms Deidentify in overall accuracy by a margin of 0.42 on the synthetic datasets. On the real-world annotation-based dataset, the generalization ability of Deidentify is lower than Deduce by 0.2. However, the performance of both techniques is affected by the limitations of the dataset. In conclusion, this study provides valuable insights into the comparative performance of Deduce and Deidentify for deidentifying Dutch EHRs, contributing to the development of more effective privacy preservation techniques in the healthcare domain. © 2025 by the authors.</t>
  </si>
  <si>
    <t xml:space="preserve">S113</t>
  </si>
  <si>
    <t xml:space="preserve">Ilarri S.; Tellería C.; Morales M.</t>
  </si>
  <si>
    <t xml:space="preserve">Anonymization of Unstructured Health Data in Spanish</t>
  </si>
  <si>
    <t xml:space="preserve">10.1007/978-3-031-78090-5_14</t>
  </si>
  <si>
    <t xml:space="preserve">Anonimiza documentos de salud en español con regex y diccionarios, sin datos etiquetados; antecedente en español.</t>
  </si>
  <si>
    <t xml:space="preserve">Documentos de salud en español (IACS)</t>
  </si>
  <si>
    <t xml:space="preserve">Factibilidad y desempeño</t>
  </si>
  <si>
    <t xml:space="preserve">There is an ever-growing availability of health data, which in many occasions are recorded in text documents rather than as structured data. Exploiting those data using data mining techniques to try to extract some useful knowledge can provide substantial benefits, but usually the data analysts should not have access to sensitive data. Therefore, the documents should be anonymized before providing them for data analysis or manual tagging prior to applying machine learning techniques. In this paper, we present our experience applying anonymization on unstructured health documents written in Spanish. We have developed a prototype that facilitates the anonymization process, which has been adopted by the Aragon Health Sciences Institute (IACS). Our approach is generic and does not require labeled data, which are expensive and difficult to obtain in this context; instead, we mainly rely on regular expressions, dictionaries of named entities, and the categorization of attributes. An experimental evaluation shows the feasibility and performance of the approach. © The Author(s), under exclusive license to Springer Nature Switzerland AG 2025.</t>
  </si>
  <si>
    <t xml:space="preserve">S114</t>
  </si>
  <si>
    <t xml:space="preserve">International Workshop on Deidentification of Electronic Health Record Notes, IW-DMRN 2024</t>
  </si>
  <si>
    <t xml:space="preserve">The proceedings contain 15 papers. The special focus in this conference is on Deidentification of Electronic Health Record Notes. The topics include: A Comparative Study of GPT3.5 Fine Tuning and Rule-Based Approaches for De-identification and Normalization of Sensitive Health Information in Electronic Medical Record Notes; advancing Sensitive Health Data Recognition and Normalization Through Large Language Model Driven Data Augmentation; privacy Protection and Standardization of Electronic Medical Records Using Large Language Model; applying Language Models for Recognizing and Normalizing Sensitive Information from Electronic Health Records Text Notes; Enhancing SHI Extraction and Time Normalization in Healthcare Records Using LLMs and Dual-Model Voting; Evaluation of OpenDeID Pipeline in the 2023 SREDH/AI-Cup Competition for Deidentification of Sensitive Health Information; Sensitive Health Information Extraction from EMR Text Notes: A Rule-Based NER Approach Using Linguistic Contextual Analysis; A Hybrid Approach to the Recognition of Sensitive Health Information: LLM and Regular Expressions; Patient Privacy Information Retrieval with Longformer and CRF, Followed by Rule-Based Time Information Normalization: A Dual-Approach Study; A Deep Dive into the Application of Pythia for Enhancing Medical Information De-identification in the AI CUP 2023; utilizing Large Language Models for Privacy Protection and Advancing Medical Digitization; comprehensive Evaluation of Pythia Model Efficiency in De-identification and Normalization for Enhanced Medical Data Management; a Two-Stage Fine-Tuning Procedure to Improve the Performance of Language Models in Sensitive Health Information Recognition and Normalization Tasks.</t>
  </si>
  <si>
    <t xml:space="preserve">S115</t>
  </si>
  <si>
    <t xml:space="preserve">Mishra N.; Rai K.; Sharma D.</t>
  </si>
  <si>
    <t xml:space="preserve">SecureRag: Preventing Sensitive Information Leakage In Rag Pipelines</t>
  </si>
  <si>
    <t xml:space="preserve">2025 2nd International Conference on Pioneering Developments in Computer Science and Digital Technologies, IC2SDT 2025 - Proceedings</t>
  </si>
  <si>
    <t xml:space="preserve">10.1109/IC2SDT68218.2025.11383622</t>
  </si>
  <si>
    <t xml:space="preserve">Filtros con regex y Presidio que redactan el contenido antes de que llegue al LLM; evalúa ataques de inyección.</t>
  </si>
  <si>
    <t xml:space="preserve">Conjuntos sintéticos de seis dominios con Faker</t>
  </si>
  <si>
    <t xml:space="preserve">Prevención de fuga bajo ataques</t>
  </si>
  <si>
    <t xml:space="preserve">Retrieval-Augmented Generation is most commonly used to combine large language models with an external knowledge base in an attempt to ground them. This significantly improves the performance in terms of factual information, but sometimes these pipelines can also expose sensitive information if not handled properly. In this work, SecureRag a framework is presented which is designed to reduce the leakage of sensitive information in these systems. Synthetic datasets were created for six domains including legal, financial, healthcare, government, and e-commerce using Python Faker Library. To implement the SecureRag system, filtering layers were implemented that redacts confidential content before it reaches the large language model. The implementation began with regular expression based filters which were later enhanced with Microsoft Presidio based filters. The implementation was evaluated with multiple tests and large language models including MiniLm, Gemini Flash 2.5, BERT-QA. The RAG system was tested against various scenarios of adversarial attacks such as prompt injections, Base64-encoded data, and needle-in-the-haystack challenges. The results show that SecureRag can effectively prevent sensitive information leakage in RAG pipelines while keeping the retrieval performance intact, this offers a safer approach for RAG pipelines. © 2025 IEEE.</t>
  </si>
  <si>
    <t xml:space="preserve">S116</t>
  </si>
  <si>
    <t xml:space="preserve">Jaikumar J.; Mohana; Suresh P.</t>
  </si>
  <si>
    <t xml:space="preserve">Privacy-Preserving Personal Identifiable Information (PII) Label Detection Using Machine Learning</t>
  </si>
  <si>
    <t xml:space="preserve">2023 14th International Conference on Computing Communication and Networking Technologies, ICCCNT 2023</t>
  </si>
  <si>
    <t xml:space="preserve">10.1109/ICCCNT56998.2023.10307924</t>
  </si>
  <si>
    <t xml:space="preserve">ML con regex para detectar etiquetas de PII en bases de datos.</t>
  </si>
  <si>
    <t xml:space="preserve">Bases de datos empresariales</t>
  </si>
  <si>
    <t xml:space="preserve">In today's data-driven world, the protection of PII is of paramount importance to safeguard personal privacy. PII tags serve as crucial markers for identifying and processing sensitive information within databases. However, the authentication and registration of PII tags can be time-consuming and error prone. To address this challenge, we propose a method for privacy controlled PII tag detection that harnesses the power of machine learning (ML) combined with regular expressions. Proposed approach leverages various techniques, including feature engineering, adaptive learning, and machine learning, to extract meaningful patterns and relationships from data. By training the model on large datasets that encompass diverse PII elements such as names, addresses, phone numbers, email addresses, and social security numbers, enable it to learn and classify PII identifiers across different documents effectively. One of the key advantages of the proposed method is its ability to automate the detection of PII identifiers, thereby reducing the reliance on manual interpretation and minimizing the potential for human error. By integrating machine learning algorithms, empower organizations to efficiently identify and process sensitive information present in their databases, bolstering privacy protection measures. Moreover, this approach facilitates the development of scalable and accurate solutions for privacy based PII tag search. This advancement paves the way for enhanced data privacy across the enterprise, ensuring compliance with regulations and standards pertaining to the protection of personal information. By combining the strengths of ML and regular expressions, the proposed method enables organizations to detect and handle PII identifiers more effectively. This not only streamlines data management processes but also strengthens privacy safeguards, and more secure and privacy-aware data ecosystem. © 2023 IEEE.</t>
  </si>
  <si>
    <t xml:space="preserve">S117</t>
  </si>
  <si>
    <t xml:space="preserve">Singh D.; Terayama A.</t>
  </si>
  <si>
    <t xml:space="preserve">Comprehensive Evaluation of Transformer Models for Complex Information Detection in Unstructured Documents</t>
  </si>
  <si>
    <t xml:space="preserve">Proceedings - 2024 IEEE International Conference on Big Data, BigData 2024</t>
  </si>
  <si>
    <t xml:space="preserve">10.1109/BigData62323.2024.10825282</t>
  </si>
  <si>
    <t xml:space="preserve">Las regex fallan con direcciones (menos de 10 %) y los transformers no; respalda asignar ADDRESS al NER.</t>
  </si>
  <si>
    <t xml:space="preserve">Base nacional de direcciones y Wikipedia</t>
  </si>
  <si>
    <t xml:space="preserve">RoBERTa 99 %; regex &lt; 10 %</t>
  </si>
  <si>
    <t xml:space="preserve">Information detection from unstructured data, such as address detection, is crucial in many applications. Traditional approaches like regular expressions (RegEx) are computationally efficient but struggle to adapt to the variability in data formats, leading to low accuracy. In contrast, machine learning-based approaches, particularly those involving transformer-based models, have shown great promise in natural language processing due to their adaptability and high accuracy. This paper provides a comprehensive evaluation of several prominent transformer-based models Bidirectional Encoder Representations from Transformers (BERT), DistilBERT, and RoBERTa - in the context of address detection. BERT, known for its deep contextual understanding, offers high accuracy but comes with a higher computational cost. DistilBERT, a distilled version of BERT, provides a faster and more resource-efficient alternative but may sacrifice some accuracy and RoBERTa is optimized for performance. Experiments, conducted on a dataset combining the National Address Database with Wikipedia texts, revealed that RoBERTa outperformed the others, achieving 99% accuracy with a 0.0193-s inference time. In contrast, using RegEx achieved less than 10% accuracy. This evaluation highlights the effectiveness of transformer-based models, particularly RoBERTa, in detecting complex information such as addresses, while also considering resource consumption. The findings suggest that RoBERTa, strikes the best balance between accuracy and computational cost among the models tested, making it a strong candidate for broader applications in unstructured document analysis. © 2024 IEEE.</t>
  </si>
  <si>
    <t xml:space="preserve">S118</t>
  </si>
  <si>
    <t xml:space="preserve">Islam M.R.; Kayem A.V.D.M.; Meinel C.</t>
  </si>
  <si>
    <t xml:space="preserve">Enabling PII Discovery in Textual Data via Outlier Detection</t>
  </si>
  <si>
    <t xml:space="preserve">10.1007/978-3-031-39821-6_17</t>
  </si>
  <si>
    <t xml:space="preserve">Detecta PII como valores atípicos sin datos etiquetados y la reemplaza por valores similares.</t>
  </si>
  <si>
    <t xml:space="preserve">ROC AUC 0,89; similitud semántica 0,461</t>
  </si>
  <si>
    <t xml:space="preserve">Discovering Personal Identifying Information (PII) in textual data is an important pre-processing step to enabling privacy preserving data analytics. One approach to PII discovery in textual data is to characterise the PII as abnormal or unusual observations that can potentially result in privacy violations. However, discovering PII in textual data is challenging because the data is unstructured, and comprises sparse representations of similar text elements. This limits the availability of labeled data for training and the accuracy of PII discovery. In this paper, we present an approach to discovering PII in textual data by characterising the PII as outliers. The PII discovery is done without labelled data, and the PII are identified using named entities. Based on the recognised named entities, we then employ five (5) unsupervised outlier detection models (LOF, DBSCAN, iForest, OCSVM, and SUOD). Our performance comparison results indicate that iForest offers the best prediction accuracy with an ROC AUC value of 0.89. We employ a masking mechanism, to replace discovered PII with semantically similar values. Our results indicate a median semantic similarity score of 0.461 between original and transformed texts which results in low information loss. © 2023, The Author(s), under exclusive license to Springer Nature Switzerland AG.</t>
  </si>
  <si>
    <t xml:space="preserve">S119</t>
  </si>
  <si>
    <t xml:space="preserve">Aldoseri N.F.; Elmedany W.</t>
  </si>
  <si>
    <t xml:space="preserve">Strengthening Data Security in Bahrain: Leveraging Microsoft Purview to Prevent Leakage of Sensitive Information</t>
  </si>
  <si>
    <t xml:space="preserve">IET Conference Proceedings</t>
  </si>
  <si>
    <t xml:space="preserve">10.1049/icp.2024.0971</t>
  </si>
  <si>
    <t xml:space="preserve">Configura tipos de información sensible con regex y listas de palabras clave en Microsoft Purview; ejemplo de control dependiente del ecosistema.</t>
  </si>
  <si>
    <t xml:space="preserve">Sensitive information is a category of classified data that must remain inaccessible to unauthorized users and devices. Traditionally, organizations maintained control over sensitive data within the confines of their corporate perimeters. However, COVID-19 has catalyzed a significant shift, compelling employees to transition from office settings to remote work environments. Thus, sensitive information could be potentially exposed to the internet. Notably, two key categories of sensitive information in Bahrain are Bahraini CPR (Central Population Register) and Bahraini passport numbers, whose unauthorized disclosure could have severe consequences for organizations. This paper explores the capabilities of Microsoft Purview in safeguarding these two critical types of sensitive information from unauthorized leakage outside an organization. Microsoft Purview is a cohesive governance unit that provides the capability to manage and govern your data landscape by mapping the sensitive information with discovery automation[1]. Microsoft Purview harnesses the power of two integral components. The first component is the deployment of Sensitive Information Types (SITs), which rely on regular expression (Regex) based patterns to identify the presence of Bahraini sensitive information. A regex-based pattern can be created to detect and prevent the malicious transfer of social security numbers (SSN) [2]. These SITs are further enhanced through a keyword list that assists in refining the framework’s ability to locate sensitive data while minimizing false positives. The second component is the Microsoft Data Loss Prevention (DLP) service, designed to detect the sharing of sensitive data both internally and externally through the Microsoft 365 suite, including e-mails, documents, chats, and endpoints. © The Institution of Engineering &amp; Technology 2023.</t>
  </si>
  <si>
    <t xml:space="preserve">S120</t>
  </si>
  <si>
    <t xml:space="preserve">Rahman M.N.; Ahmed S.; Wahab Z.; Sohan S.M.; Shahriyar R.</t>
  </si>
  <si>
    <t xml:space="preserve">Secret Breach Detection in Source Code with Large Language Models</t>
  </si>
  <si>
    <t xml:space="preserve">International Symposium on Empirical Software Engineering and Measurement</t>
  </si>
  <si>
    <t xml:space="preserve">10.1109/ESEM64174.2025.00021</t>
  </si>
  <si>
    <t xml:space="preserve">Regex para candidatos y LLM para clasificar secretos; reduce los falsos positivos de regex y entropía.</t>
  </si>
  <si>
    <t xml:space="preserve">Software / código fuente</t>
  </si>
  <si>
    <t xml:space="preserve">818 repositorios de GitHub</t>
  </si>
  <si>
    <t xml:space="preserve">F1 0,985 (binario)</t>
  </si>
  <si>
    <t xml:space="preserve">Background: Leaking sensitive information-such as API keys, tokens, and credentials-in source code remains a persistent security threat. Traditional regex and entropy-based tools often generate high false positives due to limited contextual understanding. Aims: This work aims to enhance secret detection in source code using large language models (LLMs), reducing false positives while maintaining high recall. We also evaluate the feasibility of using fine-tuned, smaller models for local deployment. Method: We propose a hybrid approach combining regex-based candidate extraction with LLM-based classification. We evaluate pre-trained and fine-tuned variants of various Large Language Models on a benchmark dataset from 818 GitHub repositories. Various prompting strategies and efficient fine-tuning methods are employed for both binary and multiclass classification. Results: The fine-tuned LLaMA-3.1 8B model achieved an F1-score of 0.9852 in binary classification, outperforming regex-only baselines. For multiclass classification, Mistral-7B reached 0.982 accuracy. Fine-tuning significantly improved performance across all models. Conclusions: Fine-tuned LLMs offer an effective and scalable solution for secret detection, greatly reducing false positives. Open-source models provide a practical alternative to commercial APIs, enabling secure and cost-efficient deployment in development workflows. © 2025 IEEE.</t>
  </si>
  <si>
    <t xml:space="preserve">S121</t>
  </si>
  <si>
    <t xml:space="preserve">Zhao Z.-R.; Chou P.-C.; Hussain Mir T.; Dai H.-J.</t>
  </si>
  <si>
    <t xml:space="preserve">A Comparative Study of GPT3.5 Fine Tuning and Rule-Based Approaches for De-identification and Normalization of Sensitive Health Information in Electronic Medical Record Notes</t>
  </si>
  <si>
    <t xml:space="preserve">10.1007/978-981-97-7966-6_3</t>
  </si>
  <si>
    <t xml:space="preserve">Las reglas con diccionarios superan a GPT-3.5 ajustado en información sensible de salud.</t>
  </si>
  <si>
    <t xml:space="preserve">Chino / inglés</t>
  </si>
  <si>
    <t xml:space="preserve">AI CUP 2023</t>
  </si>
  <si>
    <t xml:space="preserve">F macro 0,866 (reglas) frente a 0,752 (GPT-3.5)</t>
  </si>
  <si>
    <t xml:space="preserve">Electronic Medical Records (EMR) systems enhance medical care efficiency through the consolidation of data analysis, bolstering patient safety, and diminishing storage expenses. Nevertheless, EMR text notes have the potential to reveal sensitive personal information, necessitating the implementation of robust security measures to protect sensitive information. Furthermore, the representation of temporal data in EMR text notes differs among institutions, which has a direct effect on the precision and dependability of time data analysis. In light of this, the AI CUP 2023-Privacy Protection and Standardization of Electronic Medical Record competition released a dataset annotated with sensitive health information (SHI) and normalized temporal information. We participated in the challenge and conducted a comparative study to assess the efficacy of two approaches, the fine-tuning of a large language model based on the chat generative pre-trained transformer (ChatGPT) and the rule-based approach, in enhancing the privacy of clinical texts. For the ChatGPT-based approach, we fine-tuned the gpt-3.5-turbo-1106 model to efficiently identify labels. In contrast, in the rule-based approach, we compiled several rules along with dictionaries collected from the internet and released datasets for recognizing and normalizing SHIs. The ChatGPT-based approach achieved macro-F-scores of 0.752 and 0.799 for SHI recognition and temporal information normalization, while the rule-based approach highlighted 0.866 and 0.869 for the two respective subtasks, exhibiting lower latency and power consumption. Both strategies exhibited their respective benefits in tackling privacy concerns. The implementations of both rule-based and ChatGPT-based methods can be accessed through the following GitHub repositories: https://github.com/zhao-rui-NB/worker_intelligence_ner (rule-based method) and https://github.com/Chou-po-chen/openai_ner (ChatGPT-based method). © The Author(s), under exclusive license to Springer Nature Singapore Pte Ltd. 2025.</t>
  </si>
  <si>
    <t xml:space="preserve">S122</t>
  </si>
  <si>
    <t xml:space="preserve">Li D.; Zhan L.</t>
  </si>
  <si>
    <t xml:space="preserve">Predictive analysis of telecommunication network fraud crimes based on big language modeling</t>
  </si>
  <si>
    <t xml:space="preserve">Journal of Engineering and Applied Science</t>
  </si>
  <si>
    <t xml:space="preserve">10.1186/s44147-026-00965-0</t>
  </si>
  <si>
    <t xml:space="preserve">El objetivo es analizar fraudes; la desidentificación con regex y BERT es un paso previo.</t>
  </si>
  <si>
    <t xml:space="preserve">Policial / fraude</t>
  </si>
  <si>
    <t xml:space="preserve">500 casos policiales</t>
  </si>
  <si>
    <t xml:space="preserve">F1 macro 0,862 en clasificación</t>
  </si>
  <si>
    <t xml:space="preserve">This paper proposes a telecom fraud crime analysis framework that integrates privacy protection, domain knowledge injection, parameter-efficient fine-tuning, Prompt engineering, and time-series prediction. A dataset of 500 real cases is collected from a police platform, covering typical fraud types such as rebate fraud, impersonating law enforcement, and false investments. First, a two-stage de-identification process using regular expressions and BERT-NER is applied to thoroughly de-sensitize sensitive information, ensuring data compliance while retaining essential case elements. Next, a knowledge base of over 200 police-specific terms and common knowledge is constructed, and the MEMIT method is used to locally inject police terminology into the LLaMA model, significantly enhancing the model’s understanding of terms such as “running points” and “card farmers.” The experimental results show that, after knowledge editing, entity extraction precision improved from 77.3% to 85.0%, with recall increasing by 6.4% points. Further fine-tuning with LoRA improved precision and recall by 3.3 and 3.9% points, respectively. Finally, the case classification Macro-F1 score reached 0.862, outperforming TextCNN (0.846) and BERT fine-tuning models (0.850). This framework demonstrates strong performance in telecom fraud case analysis and provides valuable support for intelligent policing and crime prediction. © The Author(s) 2026.</t>
  </si>
  <si>
    <t xml:space="preserve">S123</t>
  </si>
  <si>
    <t xml:space="preserve">Mohanraj T.; Visvasa Raja S.</t>
  </si>
  <si>
    <t xml:space="preserve">CampusIssueMiner: Privacy-Preserving Triage of Code-Mixed Campus Grievances</t>
  </si>
  <si>
    <t xml:space="preserve">Proceedings of 5th International Conference on Evolutionary Computing and Mobile Sustainable Networks, ICECMSN 2025</t>
  </si>
  <si>
    <t xml:space="preserve">10.1109/ICECMSN68058.2025.11383400</t>
  </si>
  <si>
    <t xml:space="preserve">El objetivo es clasificar quejas; la redacción de PII es un paso previo.</t>
  </si>
  <si>
    <t xml:space="preserve">Educación / soporte</t>
  </si>
  <si>
    <t xml:space="preserve">Mezcla de códigos</t>
  </si>
  <si>
    <t xml:space="preserve">Datos simulados</t>
  </si>
  <si>
    <t xml:space="preserve">F1 macro 0,84 en severidad</t>
  </si>
  <si>
    <t xml:space="preserve">Transparent triage, privacy protections, and ensuring that assignments occur in a prompt manner are vital to successful student grievance processing. This work presents CampusIssueMiner, a pipeline that processes code-mixed campus complaints in a unified way and which redacts personally identifiable information, relying on end-to-end processing with transformer-based named-entity recognition and rules followed by salted hashing. Preliminary severity estimates and ticket triage advice are provided via a small multitask model; we identify duplicate reports with dual-encoder contrastive retrieval with MinHash-Lsh and cross-encoder entailment; and we model early escalation with gradient-boosted survival on queue and workload features. Probability outputs are calibrated using temperature scaling, and conformal risk bands are used to support abstention and Top-2 recommendation. Evaluations against a Python-Simulated corpus and a completely synthetic dataset to reflect local vocabulary, code-mixing ratios, class priors, and arrival rates. On five-fold cross validation, the system achieves a severity macro-F1 of 0.84, routing Top-1 accuracy of 0.89, Top-2 accuracy of 0.96, duplicate-merge precision of 0.93, pairwise F0.5 of 0.90, and AUROC of 0.90 for SLA-breach prediction with ECE of 0.03. The median time taken from detection to assignment decreases by 34%, in comparison to a rules baseline in simulations. Severity bands, destinations, breach probabilities, and deduplication clusters can be accessed by staff through an HTTP API and dashboard. If synthetic data are present, the results demonstrate that palmprint-based privacy-preserving code-mixing can offer reliable triage signals for campus operations. © 2025 IEEE.</t>
  </si>
  <si>
    <t xml:space="preserve">S124</t>
  </si>
  <si>
    <t xml:space="preserve">Jin Y.; Ma R.; Chen H.; Wu Y.; Li Q.</t>
  </si>
  <si>
    <t xml:space="preserve">CSIER-FM: A Chinese Sensitive Information Entity Recognition Framework with Few-Shot Learning and Multi-Instance Integration</t>
  </si>
  <si>
    <t xml:space="preserve">10.3390/electronics14224451</t>
  </si>
  <si>
    <t xml:space="preserve">Qwen2.5 ajustado con LoRA y pocos ejemplos para entidades sensibles en chino.</t>
  </si>
  <si>
    <t xml:space="preserve">General (hojas de vida)</t>
  </si>
  <si>
    <t xml:space="preserve">ResumeNER en chino</t>
  </si>
  <si>
    <t xml:space="preserve">F1 0,955</t>
  </si>
  <si>
    <t xml:space="preserve">The rapid growth of information technology has posed new challenges for recognizing sensitive information in Chinese text. Traditional rule-based, statistical, and machine learning methods face limitations in domain adaptability and Chinese semantic comprehension. Recently, large language models have offered new opportunities to address these challenges with their strong semantic understanding and transfer capabilities. Building on this, we propose the CSIER-FM, which is a Chinese sensitive information entity recognition framework that integrates prompt design, few-shot learning, parameter-efficient fine-tuning, and multi-instance integration. We design multiple prompt templates and incorporate a k-nearest neighbor (k-NN) sample selection strategy to optimize prompts and enhance the effectiveness of few-shot learning. In addition, we apply Low-Rank Adaptation (LoRA) to efficiently fine-tune the locally deployed Qwen2.5-7B model. Finally, a multi-instance integration mechanism is employed to allow different models to focus on specific entity categories, thereby reducing category confusion and enhancing overall F1-score. We evaluate the CSIER-FM on the Chinese ResumeNER dataset. The results demonstrate that fine-tuning the Qwen2.5-7B model raises its F1-score from 0.7106 to above 0.9518. With the addition of multi-instance integration, the F1-score further increased to 0.9553. The findings indicate that the CSIER-FM effectively integrates named entity recognition with Chinese sensitive information detection, enabling efficient recognition of multiple sensitive entity types in Chinese text. © 2025 by the authors.</t>
  </si>
  <si>
    <t xml:space="preserve">S125</t>
  </si>
  <si>
    <t xml:space="preserve">Anand S.; Shukla M.; Lodha S.</t>
  </si>
  <si>
    <t xml:space="preserve">Detecting Sensitive Information from Unstructured Text in a Data-Constrained Environment</t>
  </si>
  <si>
    <t xml:space="preserve">2023 15th International Conference on COMmunication Systems and NETworkS, COMSNETS 2023</t>
  </si>
  <si>
    <t xml:space="preserve">10.1109/COMSNETS56262.2023.10041388</t>
  </si>
  <si>
    <t xml:space="preserve">Modelos preentrenados con rasgos morfológicos para detectar datos sensibles con pocos datos etiquetados.</t>
  </si>
  <si>
    <t xml:space="preserve">Financiero y salud</t>
  </si>
  <si>
    <t xml:space="preserve">For an enterprise, it is important to handle sensitive customer data properly because any data breach or violation can lead to hefty penalties. Past work has looked at various techniques for detecting sensitive data in free-flowing text for a given regulation. However, most of them either produce many false positives or are very specific to certain types of data, for example, email, account number, or social security number. Moreover, machine learning-based methods are difficult to use as finding large amounts of labeled data for training a supervised model poses a serious challenge. In this work, we aim to address the issue of sensitive data discovery in a data-constrained environment by utilizing pre-trained models. We compare their effectiveness in the financial and health domains. Further, we improve the performance of pre-trained models by employing morphological-level features and propose a hybrid model architecture. Our experimental results show that pre-trained models in a data-constrained environment can reduce the turnaround time for sensitive data discovery, thus saving money and effort. © 2023 IEEE.</t>
  </si>
  <si>
    <t xml:space="preserve">S126</t>
  </si>
  <si>
    <t xml:space="preserve">Sharma L.; Gupta D.; Bangare M.L.; Bangare P.M.; Dixit R.S.</t>
  </si>
  <si>
    <t xml:space="preserve">A Context-Aware PII Detection and Protection in Document Processing</t>
  </si>
  <si>
    <t xml:space="preserve">10.1007/978-3-032-25958-5_23</t>
  </si>
  <si>
    <t xml:space="preserve">spaCy, regex y clasificadores sobre documentos; el contexto reduce falsos positivos de las regex.</t>
  </si>
  <si>
    <t xml:space="preserve">Documentos</t>
  </si>
  <si>
    <t xml:space="preserve">Muestras sintéticas y reales</t>
  </si>
  <si>
    <t xml:space="preserve">P, R y F1</t>
  </si>
  <si>
    <t xml:space="preserve">Protection of Personally Identifiable Information (PII) in digital documents is crucial in today’s data-driven world. PII leakage can lead to identity theft, fraud, and privacy violations. Traditional PII redaction often relies on simple patterns such as regular expressions and can miss context-dependent sensitive data or produce false positives. This paper explores context-aware approaches to PII detection and protection in documents. This paper also present various methods to enhance accuracy of semantic, and layout context accuracy. This paper presents a Python-based pipeline using OCR for scanned pages, spaCy for NER, and custom classifiers to extract names, dates, ID numbers, and other PII. The workflow from preprocessing to anonymization is also discussed in detail. For evaluation, we report experiments on synthetic and real-world samples, reporting precision, recall, and F1 metrics. Finally, we discuss various applications, open challenges, and future directions. The findings highlight that incorporating contextual cues substantially improves PII detection while guiding responsible anonymization. © The Author(s), under exclusive license to Springer Nature Switzerland AG 2026.</t>
  </si>
  <si>
    <t xml:space="preserve">Síntesis cuantitativa</t>
  </si>
  <si>
    <t xml:space="preserve">Todos los valores se calculan con fórmulas sobre la hoja Cribado; si se cambia una decisión o una marca, la síntesis se actualiza.</t>
  </si>
  <si>
    <t xml:space="preserve">1. Decisión por criterio</t>
  </si>
  <si>
    <t xml:space="preserve">N. El estudio detecta, desidentifica, anonimiza, seudonimiza o enmascara …</t>
  </si>
  <si>
    <t xml:space="preserve">C1. Privacidad y utilidad, sustitución o generación de datos sintéticos, s…</t>
  </si>
  <si>
    <t xml:space="preserve">C2. Arquitectura, gobierno o control de acceso de sistemas con LLM, donde …</t>
  </si>
  <si>
    <t xml:space="preserve">C3. La detección se hace sobre texto extraído de imágenes o audio (OCR o r…</t>
  </si>
  <si>
    <t xml:space="preserve">C4. Ataques, análisis de riesgo o clasificación de documentos por sensibil…</t>
  </si>
  <si>
    <t xml:space="preserve">C5. Capítulo, marco general o herramienta amplia sin evaluación de la dete…</t>
  </si>
  <si>
    <t xml:space="preserve">E1. No es un estudio primario: fe de erratas o presentación de actas de un…</t>
  </si>
  <si>
    <t xml:space="preserve">E2. El problema principal es otro (phishing, vulnerabilidades web, intelig…</t>
  </si>
  <si>
    <t xml:space="preserve">E3. La protección de datos personales es un paso menor de otro proceso y n…</t>
  </si>
  <si>
    <t xml:space="preserve">2. Registros por año y decisión</t>
  </si>
  <si>
    <t xml:space="preserve">2022</t>
  </si>
  <si>
    <t xml:space="preserve">2023</t>
  </si>
  <si>
    <t xml:space="preserve">2024</t>
  </si>
  <si>
    <t xml:space="preserve">2025</t>
  </si>
  <si>
    <t xml:space="preserve">2026</t>
  </si>
  <si>
    <t xml:space="preserve">2027</t>
  </si>
  <si>
    <t xml:space="preserve">3. Técnicas en los estudios núcleo</t>
  </si>
  <si>
    <t xml:space="preserve">Técnica</t>
  </si>
  <si>
    <t xml:space="preserve">Estudios núcleo</t>
  </si>
  <si>
    <t xml:space="preserve">% de núcleo</t>
  </si>
  <si>
    <t xml:space="preserve">4. Entidades mencionadas de forma explícita en los abstracts</t>
  </si>
  <si>
    <t xml:space="preserve">Etiqueta</t>
  </si>
  <si>
    <t xml:space="preserve">Todos los registros</t>
  </si>
  <si>
    <t xml:space="preserve">Muchos abstracts hablan de «PII» sin enumerar los tipos; estos conteos son un mínimo, no la frecuencia real en los artículos.</t>
  </si>
  <si>
    <t xml:space="preserve">5. Idioma de los datos en los estudios núcleo</t>
  </si>
  <si>
    <t xml:space="preserve">6. Dominio de los estudios núcleo</t>
  </si>
  <si>
    <t xml:space="preserve">7. Rasgos de evaluación</t>
  </si>
  <si>
    <t xml:space="preserve">Rasgo</t>
  </si>
  <si>
    <t xml:space="preserve">Núcleo que protege antes del envío y además evalúa la respuesta del LLM</t>
  </si>
  <si>
    <t xml:space="preserve">Núcleo en español que protege antes del envío</t>
  </si>
  <si>
    <t xml:space="preserve">Trazabilidad de la taxonomía (Tabla 6 de la tesis)</t>
  </si>
  <si>
    <t xml:space="preserve">«Estudios núcleo con mención» se calcula con fórmula sobre la hoja Cribado. La evidencia del detector cita resultados de los abstracts y, cuando se indica, del texto completo (hoja Lectura_profunda).</t>
  </si>
  <si>
    <t xml:space="preserve">Macrogrupo</t>
  </si>
  <si>
    <t xml:space="preserve">Tipo de identificador</t>
  </si>
  <si>
    <t xml:space="preserve">Detector adoptado</t>
  </si>
  <si>
    <t xml:space="preserve">Estudios núcleo con mención</t>
  </si>
  <si>
    <t xml:space="preserve">IDs con mención explícita en el abstract (C = complementario; E = excluido)</t>
  </si>
  <si>
    <t xml:space="preserve">Evidencia que respalda el detector</t>
  </si>
  <si>
    <t xml:space="preserve">Respaldo</t>
  </si>
  <si>
    <t xml:space="preserve">Identificadores directos</t>
  </si>
  <si>
    <t xml:space="preserve">Directo</t>
  </si>
  <si>
    <t xml:space="preserve">NER + contexto/listas</t>
  </si>
  <si>
    <t xml:space="preserve">S001, S004, S005, S013 (C), S017, S037, S038, S039, S049, S071, S072, S081, S089, S104 (C), S110, S116, S126</t>
  </si>
  <si>
    <t xml:space="preserve">Es la etiqueta más mencionada. Los nombres se detectan con NER (S038, S049, S110) y varias herramientas lo complementan con listas de nombres (S005, S071; en S071 las listas suben el F1 de 0,879 a 0,904). S004 muestra que los LLM pierden entre 20 % y 40 % de recall en nombres ambiguos, por lo que no conviene depender solo de un LLM.</t>
  </si>
  <si>
    <t xml:space="preserve">Regex + validación</t>
  </si>
  <si>
    <t xml:space="preserve">S015 (C), S028, S038, S045, S072, S089, S116, S125</t>
  </si>
  <si>
    <t xml:space="preserve">Los correos aparecen entre los patrones que se detectan con regex (S045, S089) y en sistemas de reglas para identificadores estructurados (S028).</t>
  </si>
  <si>
    <t xml:space="preserve">S015 (C), S028, S029, S038, S045, S049, S072, S089, S116</t>
  </si>
  <si>
    <t xml:space="preserve">Los teléfonos se tratan como identificadores rígidos con reglas en S029 (que los excluye del modelo contextual) y con regex en S045 y S089.</t>
  </si>
  <si>
    <t xml:space="preserve">NER + regex/diccionarios</t>
  </si>
  <si>
    <t xml:space="preserve">S005, S015 (C), S038, S039, S049, S110, S116, S117</t>
  </si>
  <si>
    <t xml:space="preserve">S117 muestra que las regex alcanzan menos de 10 % de exactitud en direcciones, frente a 99 % de RoBERTa. S039 deja ADDRESS en la capa NER (F1 de 74,2 % a 83,7 %) y S005 usa listas de direcciones. Por eso la dirección se asigna al NER, con reglas de apoyo para el formato colombiano.</t>
  </si>
  <si>
    <t xml:space="preserve">ID_DOC (CC, CE, NIT, pasaporte)</t>
  </si>
  <si>
    <t xml:space="preserve">Regex + contexto</t>
  </si>
  <si>
    <t xml:space="preserve">S013 (C), S015 (C), S027, S028, S029, S039, S045, S049, S051, S081, S091 (C), S116, S119, S125, S126</t>
  </si>
  <si>
    <t xml:space="preserve">Los documentos de identidad nacionales se detectan con regex en S039 (F1 de 98,4 % a 100 % en once identificadores indios), S029 (identificaciones nacionales egipcias) y S028. El texto completo de S026 muestra el riesgo de los formatos parecidos: sin contexto, el carné de identidad llega a un recall de 6,79 % y la licencia de conducción a un F1 de 0,31 %. S119 y S106 complementan las regex con palabras de contexto, que es el papel del contexto en este trabajo. Ningún estudio cubre identificadores colombianos.</t>
  </si>
  <si>
    <t xml:space="preserve">Directo; formato colombiano por adaptación</t>
  </si>
  <si>
    <t xml:space="preserve">FIN_ID (cuentas y tarjetas)</t>
  </si>
  <si>
    <t xml:space="preserve">Regex + validadores</t>
  </si>
  <si>
    <t xml:space="preserve">S015 (C), S028, S039, S045, S051, S091 (C), S125</t>
  </si>
  <si>
    <t xml:space="preserve">S045 valida tarjetas con el algoritmo de Luhn; S039 incluye cuentas bancarias en su capa de regex y S028 trata los números de instrumentos financieros como identificadores estructurados.</t>
  </si>
  <si>
    <t xml:space="preserve">Cuasi-identificadores contextuales</t>
  </si>
  <si>
    <t xml:space="preserve">Cuasi-identificador</t>
  </si>
  <si>
    <t xml:space="preserve">S015 (C), S039, S049, S072, S081, S089, S104 (C), S121, S126</t>
  </si>
  <si>
    <t xml:space="preserve">Las fechas aparecen en sistemas de reglas con normalización temporal (S121, donde las reglas superan a GPT-3.5 ajustado: 0,866 frente a 0,752) y como fecha de nacimiento en S049 y S089.</t>
  </si>
  <si>
    <t xml:space="preserve">NER</t>
  </si>
  <si>
    <t xml:space="preserve">S037, S057, S064, S081, S104 (C)</t>
  </si>
  <si>
    <t xml:space="preserve">Los lugares se reconocen con NER (S037, S064, S081). S057 usa la librería Pycountry para reducir falsos positivos de países, lo que muestra que LOC necesita contexto.</t>
  </si>
  <si>
    <t xml:space="preserve">NER + contexto</t>
  </si>
  <si>
    <t xml:space="preserve">S039, S072</t>
  </si>
  <si>
    <t xml:space="preserve">Pocos abstracts la nombran (S039, S072), y siempre en la capa de NER. En el texto completo de S081, ORGANIZATION obtiene F1 0,625 en registros reales, frente a 0,972 de los nombres de pacientes (hoja Lectura_profunda), lo que coincide con el menor desempeño de ORG en esta tesis.</t>
  </si>
  <si>
    <t xml:space="preserve">Directo, con pocos estudios</t>
  </si>
  <si>
    <t xml:space="preserve">Técnico-empresarial</t>
  </si>
  <si>
    <t xml:space="preserve">Directo (por analogía)</t>
  </si>
  <si>
    <t xml:space="preserve">Regex + validadores + criterio de entropía</t>
  </si>
  <si>
    <t xml:space="preserve">S045, S056, S086, S089, S090, S120</t>
  </si>
  <si>
    <t xml:space="preserve">S056 combina regex para candidatos con CodeBERT (F1 92,70 %; la regex sola tiene precisión de 6,80 %), S120 combina regex con un LLM (F1 0,985) y S086 usa la entropía de Shannon para encontrar claves (exactitud 96,1 %). Los tres coinciden en que la regex sola produce muchos falsos positivos. S090 incluye las credenciales entre lo que sanea en los prompts empresariales.</t>
  </si>
  <si>
    <t xml:space="preserve">NET_DIGITAL (IP, MAC)</t>
  </si>
  <si>
    <t xml:space="preserve">Cuasi-identificador (por analogía)</t>
  </si>
  <si>
    <t xml:space="preserve">Solo S029 nombra las direcciones IP y MAC, como identificadores rígidos que se detectan con reglas.</t>
  </si>
  <si>
    <t xml:space="preserve">Débil: un estudio</t>
  </si>
  <si>
    <t xml:space="preserve">—</t>
  </si>
  <si>
    <t xml:space="preserve">Ningún abstract la nombra como dato sensible. Se incluye porque los prompts empresariales contienen enlaces internos que revelan la organización o sus sistemas, y porque Presidio la reconoce. Su inclusión es una decisión de diseño, no un resultado de la revisión.</t>
  </si>
  <si>
    <t xml:space="preserve">Sin respaldo directo; por analogía</t>
  </si>
  <si>
    <t xml:space="preserve">Ningún abstract la nombra. Se incluye porque los radicados, contratos, facturas y tickets permiten rastrear un caso o una persona en el escenario empresarial. Su inclusión es una decisión de diseño, no un resultado de la revisión.</t>
  </si>
  <si>
    <t xml:space="preserve">Atributos sensibles semánticos</t>
  </si>
  <si>
    <t xml:space="preserve">Salud, afiliación política, creencias religiosas, orientación sexual, origen étnico</t>
  </si>
  <si>
    <t xml:space="preserve">No se detectan</t>
  </si>
  <si>
    <t xml:space="preserve">S035 (C)</t>
  </si>
  <si>
    <t xml:space="preserve">S035 extrae información de salud de foros de pacientes y en el texto completo de S109 se distinguen seis dominios sensibles semánticos: salud, política, sexualidad, judicial, filosofía o religión y origen étnico (hoja Lectura_profunda). Se excluyen porque su anotación es subjetiva y depende de la valoración contextual, que está fuera del alcance (sección 5 de la tesis).</t>
  </si>
  <si>
    <t xml:space="preserve">Excluido por alcance</t>
  </si>
  <si>
    <t xml:space="preserve">Lectura profunda: estudios verificados con el texto completo</t>
  </si>
  <si>
    <t xml:space="preserve">Estudio</t>
  </si>
  <si>
    <t xml:space="preserve">Por qué se leyó</t>
  </si>
  <si>
    <t xml:space="preserve">Qué se verificó en el texto completo</t>
  </si>
  <si>
    <t xml:space="preserve">Resultados clave</t>
  </si>
  <si>
    <t xml:space="preserve">Decisión de diseño que sustenta</t>
  </si>
  <si>
    <t xml:space="preserve">Corrección frente a la versión anterior</t>
  </si>
  <si>
    <t xml:space="preserve">Sección de la tesis</t>
  </si>
  <si>
    <t xml:space="preserve">de Gibert et al. (2022), LREC</t>
  </si>
  <si>
    <t xml:space="preserve">Único conjunto jurídico en español con taxonomía jerárquica de entidades sensibles.</t>
  </si>
  <si>
    <t xml:space="preserve">Jerarquía de dos niveles (nivel 1: Address, Amount, Date, Person, Organisation, Time, Vehicle; nivel 2 con etiquetas como ID Document Number, Url, Profession o Nationality). Cuatro conjuntos: CPP, EUR-Lex y DE-Gold anotados a mano y DE-Silver anotado de forma automática, con 14,2 % de errores en una revisión de 50 documentos.</t>
  </si>
  <si>
    <t xml:space="preserve">F1 medio: BETO 0,910; mBERT 0,907; RoBERTa-base-bne 0,886; RoBERTaLex 0,869. El modelo jurídico fue el peor (p &lt; 0,05). DE-Gold fue el conjunto más difícil (0,833).</t>
  </si>
  <si>
    <t xml:space="preserve">Taxonomía en dos niveles (macrogrupo y etiqueta) y elección de BETO como modelo base en español.</t>
  </si>
  <si>
    <t xml:space="preserve">Las entidades del Cribado se limitan a lo que dice el abstract; la jerarquía completa se documenta aquí.</t>
  </si>
  <si>
    <t xml:space="preserve">6.2.1, 6.2.3 y 8.1</t>
  </si>
  <si>
    <t xml:space="preserve">Gorskis et al. (2026), Future Internet 18(7):354</t>
  </si>
  <si>
    <t xml:space="preserve">Escenario más cercano al de la tesis: comunicaciones empresariales (Teams, correo y documentos).</t>
  </si>
  <si>
    <t xml:space="preserve">NER multilingüe (xlm-roberta-base-ner-hrl, sin ajuste) más regex para ID personal, correo, IBAN, tarjeta e IP, un diccionario oficial de nombres letones y filtros de contexto y de sufijos. 13.525 registros: 12.325 reales y 1.200 sintéticos.</t>
  </si>
  <si>
    <t xml:space="preserve">Nombres: P 79,70 %, R 90,32 %, F1 84,68 %. Formatos únicos con F1 de 99,4 % a 99,95 % (ID personal, correo, teléfono, dirección, IBAN). Documentos con formato parecido fallan: carné R 6,79 %, pasaporte R 61,59 %, licencia de conducción F1 0,31 %.</t>
  </si>
  <si>
    <t xml:space="preserve">Regex para formatos únicos y palabras de contexto obligatorias para distinguir identificadores con el mismo formato (CC, CE, NIT, pasaporte).</t>
  </si>
  <si>
    <t xml:space="preserve">La afirmación de que rinde «muy alto en patrones estructurados» se matiza: solo en formatos únicos; los documentos con formatos solapados rinden peor que los nombres.</t>
  </si>
  <si>
    <t xml:space="preserve">6.1 y 7.2 (Tabla 3)</t>
  </si>
  <si>
    <t xml:space="preserve">Vīksna y Skadiņa (2025), RANLP</t>
  </si>
  <si>
    <t xml:space="preserve">Herramienta híbrida que prioriza el recall, como el F2 de la tesis.</t>
  </si>
  <si>
    <t xml:space="preserve">Listas editables, regex basadas en Presidio con palabras de contexto e identificadores de Estonia, Letonia y Lituania, y NER Flair con XLM-R ajustado. Los autores declaran que en la desidentificación el recall importa más que la precisión.</t>
  </si>
  <si>
    <t xml:space="preserve">MultiLeg: P 0,78; R 0,93; F1 0,85 (EC tool y MAPA: F1 0,42). En TAB: recall por token 0,950 con precisión ponderada 0,551.</t>
  </si>
  <si>
    <t xml:space="preserve">Priorizar el recall (F2) y apoyar las regex de identificadores nacionales con palabras de contexto.</t>
  </si>
  <si>
    <t xml:space="preserve">Se agregan las cifras, que el abstract no reporta.</t>
  </si>
  <si>
    <t xml:space="preserve">6.2.6 y 7.4</t>
  </si>
  <si>
    <t xml:space="preserve">Sundrelingam et al. (2025), pyDeid, JAMIA Open 8(1):ooae152</t>
  </si>
  <si>
    <t xml:space="preserve">Compara reglas, listas de nombres y NER en configuraciones separadas.</t>
  </si>
  <si>
    <t xml:space="preserve">Regex, listas de inclusión y exclusión, listas de nombres de pacientes y médicos y NER opcional de spaCy. 700 notas de ingreso de un hospital de Toronto (48.491 PII), prueba de n2c2 y notas sintéticas usadas solo para medir velocidad.</t>
  </si>
  <si>
    <t xml:space="preserve">Básico: P 0,889; R 0,906; F1 0,879; 0,48 s por nota. Con listas de nombres: F1 0,904; R 0,932. Con nombres y NER: R 0,950, pero P 0,686 y F1 0,797.</t>
  </si>
  <si>
    <t xml:space="preserve">Evidencia del equilibrio entre precisión y recall al agregar NER, que justifica una capa de consolidación y la heurística de decisión.</t>
  </si>
  <si>
    <t xml:space="preserve">Las mejores cifras del abstract vienen de configuraciones distintas; ninguna logra las cuatro a la vez.</t>
  </si>
  <si>
    <t xml:space="preserve">6.1 y 7.2</t>
  </si>
  <si>
    <t xml:space="preserve">Mishra, Pagare y Sharma (2025), Scientific Reports 15:22729</t>
  </si>
  <si>
    <t xml:space="preserve">Combina reglas y NER propio en documentos financieros con datos sintéticos.</t>
  </si>
  <si>
    <t xml:space="preserve">Etiquetas NAME, CREDIT_CARD, EMAIL, URL, PHONE, ADDRESS, COMPANY y SSN. NER de spaCy entrenado desde cero; las regex se usan sobre todo para anotar los datos de entrenamiento. 45.030 registros generados con Faker y plantillas, y pocos documentos reales.</t>
  </si>
  <si>
    <t xml:space="preserve">P 94,7 %; R 89,4 %; F1 91,1 % (con esos P y R el F1 debería ser cercano a 92,0 %). Los errores se concentran en URL y tarjetas; nombres ambiguos como «Rose» o «Grant» causan fallos.</t>
  </si>
  <si>
    <t xml:space="preserve">Respalda las plantillas sintéticas, con la cautela de que no reemplazan la prueba con datos reales.</t>
  </si>
  <si>
    <t xml:space="preserve">Se señala la inconsistencia interna del F1 reportado.</t>
  </si>
  <si>
    <t xml:space="preserve">7.2 (Fase 3) y 9</t>
  </si>
  <si>
    <t xml:space="preserve">De Renzis, Dosso y Testolin (2024), IRCDL 2024, CEUR vol. 3643, pp. 25-33</t>
  </si>
  <si>
    <t xml:space="preserve">Datos sensibles semánticos y entrenamiento con documentos generados por LLM.</t>
  </si>
  <si>
    <t xml:space="preserve">Seis dominios sensibles (salud, política, sexualidad, judicial, filosofía o religión y origen étnico) y una clase no sensible. Documentos en italiano generados con BingAI (GPT-4) y OpenLLaMa 13B. Clasificadores BERT por frase, por frase con contexto y NER por token.</t>
  </si>
  <si>
    <t xml:space="preserve">F1 ponderado de 0,921 y 0,910 a nivel de documento; a nivel de fragmento el NER llega a cerca de 0,73. La prueba usa 50 documentos generados, no reales.</t>
  </si>
  <si>
    <t xml:space="preserve">Excluir los atributos sensibles semánticos del alcance y tratar el desempeño en datos sintéticos como un techo.</t>
  </si>
  <si>
    <t xml:space="preserve">El F1 mayor a 90 % del abstract es a nivel de documento, no de entidad.</t>
  </si>
  <si>
    <t xml:space="preserve">5, 6.2.1 y 9</t>
  </si>
  <si>
    <t xml:space="preserve">Rahman et al. (2026), IssueGuard, arXiv 2602.08072</t>
  </si>
  <si>
    <t xml:space="preserve">Base del criterio para CREDENTIAL / SECRET y análogo del filtro previo al envío.</t>
  </si>
  <si>
    <t xml:space="preserve">761 regex como extractor de candidatos y una ventana de 200 caracteres que clasifica CodeBERT-base. Benchmark de 54.148 instancias con 5.881 secretos reales. Funciona como extensión de Chrome que avisa antes de enviar.</t>
  </si>
  <si>
    <t xml:space="preserve">P 92,49 %; R 92,91 %; F1 92,70 %. Regex sola: P 6,80 %, R 100 %. TruffleHog F1 69,69; Gitleaks F1 63,60. Latencia de 198 ms, de los cuales 10,1 ms son de inferencia.</t>
  </si>
  <si>
    <t xml:space="preserve">Regex para candidatos más un filtro adicional (validadores y entropía) para controlar los falsos positivos de los secretos.</t>
  </si>
  <si>
    <t xml:space="preserve">Se confirman las cifras del abstract y se agrega la precisión de la regex sola.</t>
  </si>
  <si>
    <t xml:space="preserve">6.2.1 y 8.1 (Tabla 6)</t>
  </si>
  <si>
    <t xml:space="preserve">Schiezaro et al. (2025), Frontiers in Public Health 13:1717303 (dataset AnonyMed-BR)</t>
  </si>
  <si>
    <t xml:space="preserve">Diecinueve etiquetas en portugués y comparación de NER con LLM.</t>
  </si>
  <si>
    <t xml:space="preserve">Se confirman las 19 etiquetas. 2.962 muestras; prueba de 500 (201 reales y 299 sintéticas).</t>
  </si>
  <si>
    <t xml:space="preserve">F1 global: BERTimbau-leNER 0,927; GPT-4o 0,9195; ptt5-v2 0,875. Por entidad en registros reales: PHONE 1,00 y PATIENT 0,972, frente a ORGANIZATION 0,625, PROFESSION 0,610 y LOCATION_OTHER 0,133. Algunas entidades son muy raras en la prueba.</t>
  </si>
  <si>
    <t xml:space="preserve">Esperar un desempeño menor en ORG y en lugares genéricos, como ocurrió en esta tesis.</t>
  </si>
  <si>
    <t xml:space="preserve">AnonyMed-BR es el nombre del dataset, no del artículo; volumen 13 (2025), publicado en 2026.</t>
  </si>
  <si>
    <t xml:space="preserve">8.3 y 9</t>
  </si>
  <si>
    <t xml:space="preserve">Asiri et al. (2025), SPADR, Electronics 14(18):3725</t>
  </si>
  <si>
    <t xml:space="preserve">Fuente de la métrica de fuga residual.</t>
  </si>
  <si>
    <t xml:space="preserve">NER de spaCy con regex, autoencoder de denoising y grafo de coocurrencia de entidades. 10.000 correos de Enron más 500 registros sintéticos. La fuga residual no se define formalmente; el 100 % corresponde al texto sin procesar.</t>
  </si>
  <si>
    <t xml:space="preserve">Fuga / BERTScore F1: NER BERT 22,63 % / 99,90; SPADR S2 16,06 % / 88,03. SPADR reduce la fuga, pero pierde utilidad frente al NER solo.</t>
  </si>
  <si>
    <t xml:space="preserve">Medir la fuga residual junto con una métrica de utilidad, con una definición propia explícita (Tabla 5).</t>
  </si>
  <si>
    <t xml:space="preserve">Se aclara que la métrica no tiene definición formal en el artículo, por lo que la tesis la define.</t>
  </si>
  <si>
    <t xml:space="preserve">6.2.6 y 7.4 (Tabla 5)</t>
  </si>
  <si>
    <t xml:space="preserve">Albanese, Ronco y D'Ippolito (2026), RAIE 2026 (ACM); leído en arXiv 2603.17217</t>
  </si>
  <si>
    <t xml:space="preserve">Uno de los dos estudios que miden la respuesta del LLM tras la protección.</t>
  </si>
  <si>
    <t xml:space="preserve">Compara con Presidio, Google DLP y ZSTS. La utilidad se mide como acuerdo binario entre la respuesta de GPT-3.5 sobre el texto protegido y sobre el original, en 50 conversaciones de ABCD. No usa BERTScore ni un LLM como juez.</t>
  </si>
  <si>
    <t xml:space="preserve">Recall de privacidad / acuerdo de respuestas: Presidio 0,56 / 0,61; Google DLP 0,65 / 0,52; GPT-oss 20B 0,99 / 0,95.</t>
  </si>
  <si>
    <t xml:space="preserve">Respalda medir el efecto sobre la respuesta, aquí con un juez y en español.</t>
  </si>
  <si>
    <t xml:space="preserve">Se leyó la versión abierta de arXiv; el registro de Scopus corresponde a las actas de RAIE 2026.</t>
  </si>
  <si>
    <t xml:space="preserve">2.1, 6.1 y 7.4</t>
  </si>
  <si>
    <t xml:space="preserve">Gentyala, Tejasri y Mudusu (2026), CADLP, ICIRCA 2026, pp. 2057-2064</t>
  </si>
  <si>
    <t xml:space="preserve">El antecedente más cercano: proxy antes de las API de LLM que mide la degradación de la tarea.</t>
  </si>
  <si>
    <t xml:space="preserve">No se pudo abrir el artículo. El repositorio confirma el proxy de cuatro etapas (regex y entropía, NER, huella de código y similitud TF-IDF) y las acciones ALLOW, REDACT, BLOCK y QUARANTINE. El NER del repositorio es una versión simplificada con regex y la métrica de degradación no está implementada.</t>
  </si>
  <si>
    <t xml:space="preserve">Las cifras del abstract (97,3 % de prevención, 4,1 % de falsos positivos, 6,2 % de degradación, 81 ms) no se pueden reproducir con el material público.</t>
  </si>
  <si>
    <t xml:space="preserve">Se cita como antecedente del proxy, aclarando que sus métricas son autorreportadas.</t>
  </si>
  <si>
    <t xml:space="preserve">Se marca que las cifras no se pudieron verificar.</t>
  </si>
  <si>
    <t xml:space="preserve">6.1</t>
  </si>
  <si>
    <t xml:space="preserve">Le et al. (2026), mailcom, SoftwareX 34:102703</t>
  </si>
  <si>
    <t xml:space="preserve">Herramienta abierta de seudonimización con soporte para español.</t>
  </si>
  <si>
    <t xml:space="preserve">No se pudo abrir el artículo. La documentación indica un NER configurable (por defecto xlm-roberta-large-finetuned-conll03-english), segmentación con spaCy, detección de idioma y reemplazo por pseudónimos o etiquetas; español, francés y portugués por defecto.</t>
  </si>
  <si>
    <t xml:space="preserve">El repositorio advierte que toda salida debe revisarla una persona. No se verificaron métricas.</t>
  </si>
  <si>
    <t xml:space="preserve">Respalda la revisión humana como etapa final y el uso de modelos multilingües como punto de partida.</t>
  </si>
  <si>
    <t xml:space="preserve">Ninguna; solo se verificó la documentación.</t>
  </si>
  <si>
    <t xml:space="preserve">Nayak et al. (2024), GDPR compliant ChatGPT playground, ICETCS 2024</t>
  </si>
  <si>
    <t xml:space="preserve">Valida el prompt con un NER corporativo antes de enviarlo a ChatGPT.</t>
  </si>
  <si>
    <t xml:space="preserve">No se pudo abrir el texto completo. Se confirmaron los metadatos: SAP Labs India, ICETCS 2024, Bengaluru, pp. 1-6.</t>
  </si>
  <si>
    <t xml:space="preserve">El abstract no reporta métricas.</t>
  </si>
  <si>
    <t xml:space="preserve">Se cita como antecedente del filtro previo al envío, sin cifras.</t>
  </si>
  <si>
    <t xml:space="preserve">Ninguna.</t>
  </si>
  <si>
    <t xml:space="preserve">Hallazgos de la revisión y su uso en la tesis</t>
  </si>
  <si>
    <t xml:space="preserve">Hallazgo</t>
  </si>
  <si>
    <t xml:space="preserve">Evidencia</t>
  </si>
  <si>
    <t xml:space="preserve">Implicación para el diseño</t>
  </si>
  <si>
    <t xml:space="preserve">El enfoque híbrido es el más frecuente</t>
  </si>
  <si>
    <t xml:space="preserve">Arquitectura híbrida: NER para entidades contextuales y expresiones regulares para patrones estructurados, con una capa de consolidación que controla los falsos positivos.</t>
  </si>
  <si>
    <t xml:space="preserve">6.1, 6.2.4 y 7.2 (Fase 3)</t>
  </si>
  <si>
    <t xml:space="preserve">Cada tipo de entidad necesita su propio detector</t>
  </si>
  <si>
    <t xml:space="preserve">S039 obtiene F1 de 98,4 % a 100 % con regex en once identificadores estructurados y de 74,2 % a 83,7 % con NER en nombres, direcciones, organizaciones y fechas. S117 muestra el caso contrario: las regex no llegan a 10 % de exactitud en direcciones, frente a 99 % de RoBERTa. S029 excluye los identificadores rígidos del modelo contextual y S126 usa el contexto para reducir los falsos positivos de las regex. En el texto completo de S026, los documentos con formatos parecidos fallan sin contexto (carné de identidad con recall de 6,79 %).</t>
  </si>
  <si>
    <t xml:space="preserve">Asignación de un mecanismo por etiqueta (Tabla 3 y Tabla 6) y precedencia de las regex en los identificadores estructurados.</t>
  </si>
  <si>
    <t xml:space="preserve">6.2.4, 7.2 (Tabla 3) y 8.1 (Tabla 6)</t>
  </si>
  <si>
    <t xml:space="preserve">Los secretos técnicos requieren una rama propia</t>
  </si>
  <si>
    <t xml:space="preserve">S056 (regex más CodeBERT, F1 92,70 %, frente a una precisión de 6,80 % con la regex sola), S120 (regex más LLM, F1 0,985) y S086 (entropía de Shannon, exactitud 96,1 %) detectan claves, tokens y credenciales, y coinciden en que la regex sola produce muchos falsos positivos. S090 los incluye entre lo que sanea en prompts empresariales.</t>
  </si>
  <si>
    <t xml:space="preserve">Etiqueta CREDENTIAL / SECRET con regex, validadores y criterio de entropía.</t>
  </si>
  <si>
    <t xml:space="preserve">Los LLM no reemplazan al NER como detector</t>
  </si>
  <si>
    <t xml:space="preserve">Un NER local (BETO ajustado) como componente contextual. Usar un LLM externo para detectar expondría el mismo dato que se quiere proteger.</t>
  </si>
  <si>
    <t xml:space="preserve">6.2.3 y 7.2 (Fase 3)</t>
  </si>
  <si>
    <t xml:space="preserve">La evaluación combina privacidad y utilidad</t>
  </si>
  <si>
    <t xml:space="preserve">F2 para la detección, fuga residual y métricas de TAB para la protección (Tabla 5).</t>
  </si>
  <si>
    <t xml:space="preserve">Pocos trabajos protegen el texto antes de enviarlo y casi ninguno mide la respuesta</t>
  </si>
  <si>
    <t xml:space="preserve">Vacío que justifica medir el efecto del enmascaramiento sobre la respuesta (segunda dimensión de la evaluación).</t>
  </si>
  <si>
    <t xml:space="preserve">2.1, 3 y 6.1</t>
  </si>
  <si>
    <t xml:space="preserve">La evidencia en español es escasa y ninguna trata prompts empresariales</t>
  </si>
  <si>
    <t xml:space="preserve">Corpus propio en español (GPT-4-Prompts, sintético y MEDDOCAN) y expresiones regulares para identificadores colombianos.</t>
  </si>
  <si>
    <t xml:space="preserve">2.1, 6.1 y 7.2 (Fase 3)</t>
  </si>
  <si>
    <t xml:space="preserve">El dominio clínico predomina y la transferencia entre dominios es limitada</t>
  </si>
  <si>
    <t xml:space="preserve">Limitación de transferencia desde MEDDOCAN, etapa intermedia con AI4Privacy y WikiANN, ajuste con prompts reales y prueba ciega en ese dominio.</t>
  </si>
  <si>
    <t xml:space="preserve">5, 7.2 (Fase 3) y 9</t>
  </si>
  <si>
    <t xml:space="preserve">Los datos sintéticos sirven para entrenar y evaluar, pero no bastan</t>
  </si>
  <si>
    <t xml:space="preserve">S109 entrena detectores con documentos generados por un LLM y obtiene F1 mayor a 90 % a nivel de documento, pero cerca de 0,73 a nivel de fragmento, S081 encuentra que los datos sintéticos mejoran la generalización y S100 valida en documentos reales un modelo entrenado con datos sintéticos. S112 muestra que el desempeño cambia entre textos sintéticos y reales. S100 entrena con 45.030 registros sintéticos y sus errores se concentran en URL, tarjetas y nombres ambiguos.</t>
  </si>
  <si>
    <t xml:space="preserve">Corpus sintético por plantillas, tratado como techo del desempeño, y evaluación adicional con prompts reales.</t>
  </si>
  <si>
    <t xml:space="preserve">La sensibilidad depende del contexto y de la combinación de datos</t>
  </si>
  <si>
    <t xml:space="preserve">S022 detecta riesgos implícitos y relaciones entre entidades, S083 usa el contexto para refinar las etiquetas de un NER genérico, S060 clasifica documentos completos como públicos o privados, y S105 y S033 calculan un índice de riesgo por documento para decidir la acción.</t>
  </si>
  <si>
    <t xml:space="preserve">Heurística de decisión con pesos por etiqueta, regla de coocurrencia y umbral, separada del detector de entidades.</t>
  </si>
  <si>
    <t xml:space="preserve">3, 6.2.1 y 7.2 (heurística)</t>
  </si>
  <si>
    <t xml:space="preserve">La pre-anotación automática es una práctica habitual</t>
  </si>
  <si>
    <t xml:space="preserve">S018 pre-anota con reglas antes de la anotación manual de más de 15.000 documentos y S098 usa supervisión distante y anotación asistida para reducir el costo de crear el corpus de referencia.</t>
  </si>
  <si>
    <t xml:space="preserve">Pre-anotación con el mecanismo híbrido y validación cruzada con un segundo anotador que no ve la pre-anotación.</t>
  </si>
  <si>
    <t xml:space="preserve">7.3</t>
  </si>
  <si>
    <t xml:space="preserve">Antecedentes identificados por fuera de la búsqueda</t>
  </si>
  <si>
    <t xml:space="preserve">Chong et al. (2025) sanean el prompt en el navegador con reglas, NER y un LLM local, pero no miden la respuesta. Carpentier et al. (2024) estudian el efecto del saneamiento con privacidad diferencial sobre tareas de resumen y traducción. Pilán et al. (2022) proponen TAB y sus métricas de protección. No forman parte de los 126 registros.</t>
  </si>
  <si>
    <t xml:space="preserve">Completan el vacío del hallazgo sobre la respuesta y aportan las métricas de protección.</t>
  </si>
  <si>
    <t xml:space="preserve">6.1 y Tabla 1</t>
  </si>
</sst>
</file>

<file path=xl/styles.xml><?xml version="1.0" encoding="utf-8"?>
<styleSheet xmlns="http://schemas.openxmlformats.org/spreadsheetml/2006/main">
  <numFmts count="4">
    <numFmt numFmtId="164" formatCode="General"/>
    <numFmt numFmtId="165" formatCode="General"/>
    <numFmt numFmtId="166" formatCode="0.0%"/>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595959"/>
      <name val="Arial"/>
      <family val="0"/>
      <charset val="1"/>
    </font>
    <font>
      <b val="true"/>
      <sz val="11"/>
      <color rgb="FF1F4E78"/>
      <name val="Arial"/>
      <family val="0"/>
      <charset val="1"/>
    </font>
    <font>
      <sz val="10"/>
      <name val="Arial"/>
      <family val="0"/>
      <charset val="1"/>
    </font>
    <font>
      <b val="true"/>
      <sz val="10"/>
      <name val="Arial"/>
      <family val="0"/>
      <charset val="1"/>
    </font>
    <font>
      <b val="true"/>
      <sz val="10"/>
      <color rgb="FFFFFFFF"/>
      <name val="Arial"/>
      <family val="0"/>
      <charset val="1"/>
    </font>
    <font>
      <u val="single"/>
      <sz val="10"/>
      <color rgb="FF0563C1"/>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C00000"/>
          <bgColor rgb="FF000000"/>
        </patternFill>
      </fill>
    </dxf>
    <dxf>
      <fill>
        <patternFill>
          <bgColor rgb="FFE2EFDA"/>
        </patternFill>
      </fill>
    </dxf>
    <dxf>
      <fill>
        <patternFill>
          <bgColor rgb="FFFFF2CC"/>
        </patternFill>
      </fill>
    </dxf>
    <dxf>
      <fill>
        <patternFill>
          <bgColor rgb="FFF8CBAD"/>
        </patternFill>
      </fill>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doi.org/10.1109/GSEACT68539.2026.11620580" TargetMode="External"/><Relationship Id="rId2" Type="http://schemas.openxmlformats.org/officeDocument/2006/relationships/hyperlink" Target="https://doi.org/10.1007/978-981-96-3361-6_20" TargetMode="External"/><Relationship Id="rId3" Type="http://schemas.openxmlformats.org/officeDocument/2006/relationships/hyperlink" Target="https://doi.org/10.1007/978-3-032-31319-5_23" TargetMode="External"/><Relationship Id="rId4" Type="http://schemas.openxmlformats.org/officeDocument/2006/relationships/hyperlink" Target="https://doi.org/10.1145/3805689.3806747" TargetMode="External"/><Relationship Id="rId5" Type="http://schemas.openxmlformats.org/officeDocument/2006/relationships/hyperlink" Target="https://doi.org/10.1145/3724118" TargetMode="External"/><Relationship Id="rId6" Type="http://schemas.openxmlformats.org/officeDocument/2006/relationships/hyperlink" Target="https://doi.org/10.3389/fnume.2025.1671281" TargetMode="External"/><Relationship Id="rId7" Type="http://schemas.openxmlformats.org/officeDocument/2006/relationships/hyperlink" Target="https://doi.org/10.2478/jazcas-2025-0017" TargetMode="External"/><Relationship Id="rId8" Type="http://schemas.openxmlformats.org/officeDocument/2006/relationships/hyperlink" Target="https://doi.org/10.1109/ICPCSN65854.2025.11034933" TargetMode="External"/><Relationship Id="rId9" Type="http://schemas.openxmlformats.org/officeDocument/2006/relationships/hyperlink" Target="https://doi.org/10.2478/jee-2025-0028" TargetMode="External"/><Relationship Id="rId10" Type="http://schemas.openxmlformats.org/officeDocument/2006/relationships/hyperlink" Target="https://doi.org/10.1007/978-981-97-9437-9_2" TargetMode="External"/><Relationship Id="rId11" Type="http://schemas.openxmlformats.org/officeDocument/2006/relationships/hyperlink" Target="https://doi.org/10.1007/978-3-031-79032-4_22" TargetMode="External"/><Relationship Id="rId12" Type="http://schemas.openxmlformats.org/officeDocument/2006/relationships/hyperlink" Target="https://doi.org/10.1016/j.softx.2026.102703" TargetMode="External"/><Relationship Id="rId13" Type="http://schemas.openxmlformats.org/officeDocument/2006/relationships/hyperlink" Target="https://doi.org/10.26342/2026-76-16" TargetMode="External"/><Relationship Id="rId14" Type="http://schemas.openxmlformats.org/officeDocument/2006/relationships/hyperlink" Target="https://doi.org/10.1109/TKDE.2021.3076632" TargetMode="External"/><Relationship Id="rId15" Type="http://schemas.openxmlformats.org/officeDocument/2006/relationships/hyperlink" Target="https://doi.org/10.1109/ICPCSN68523.2026.11543660" TargetMode="External"/><Relationship Id="rId16" Type="http://schemas.openxmlformats.org/officeDocument/2006/relationships/hyperlink" Target="https://doi.org/10.1109/BDPC69980.2026.11608232" TargetMode="External"/><Relationship Id="rId17" Type="http://schemas.openxmlformats.org/officeDocument/2006/relationships/hyperlink" Target="https://doi.org/10.1145/3786156.3788578" TargetMode="External"/><Relationship Id="rId18" Type="http://schemas.openxmlformats.org/officeDocument/2006/relationships/hyperlink" Target="https://doi.org/10.3389/frai.2025.1585260" TargetMode="External"/><Relationship Id="rId19" Type="http://schemas.openxmlformats.org/officeDocument/2006/relationships/hyperlink" Target="https://doi.org/10.3389/fdgth.2025.1497130" TargetMode="External"/><Relationship Id="rId20" Type="http://schemas.openxmlformats.org/officeDocument/2006/relationships/hyperlink" Target="https://doi.org/10.1109/ICAECA63854.2025.11012305" TargetMode="External"/><Relationship Id="rId21" Type="http://schemas.openxmlformats.org/officeDocument/2006/relationships/hyperlink" Target="https://doi.org/10.1007/978-3-032-14350-1_14" TargetMode="External"/><Relationship Id="rId22" Type="http://schemas.openxmlformats.org/officeDocument/2006/relationships/hyperlink" Target="https://doi.org/10.3390/electronics14183725" TargetMode="External"/><Relationship Id="rId23" Type="http://schemas.openxmlformats.org/officeDocument/2006/relationships/hyperlink" Target="https://doi.org/10.59543/jidmis.v3.2085" TargetMode="External"/><Relationship Id="rId24" Type="http://schemas.openxmlformats.org/officeDocument/2006/relationships/hyperlink" Target="https://doi.org/10.1007/978-3-032-06418-9_5" TargetMode="External"/><Relationship Id="rId25" Type="http://schemas.openxmlformats.org/officeDocument/2006/relationships/hyperlink" Target="https://doi.org/10.26615/978-954-452-098-4-001" TargetMode="External"/><Relationship Id="rId26" Type="http://schemas.openxmlformats.org/officeDocument/2006/relationships/hyperlink" Target="https://doi.org/10.3390/fi18070354" TargetMode="External"/><Relationship Id="rId27" Type="http://schemas.openxmlformats.org/officeDocument/2006/relationships/hyperlink" Target="https://doi.org/10.1109/IATMSI68868.2026.11466036" TargetMode="External"/><Relationship Id="rId28" Type="http://schemas.openxmlformats.org/officeDocument/2006/relationships/hyperlink" Target="https://doi.org/10.1109/ICIRCA69024.2026.11570613" TargetMode="External"/><Relationship Id="rId29" Type="http://schemas.openxmlformats.org/officeDocument/2006/relationships/hyperlink" Target="https://doi.org/10.18280/ijsse.150602" TargetMode="External"/><Relationship Id="rId30" Type="http://schemas.openxmlformats.org/officeDocument/2006/relationships/hyperlink" Target="https://doi.org/10.14569/IJACSA.2026.0170653" TargetMode="External"/><Relationship Id="rId31" Type="http://schemas.openxmlformats.org/officeDocument/2006/relationships/hyperlink" Target="https://doi.org/10.1109/RADIOELEKTRONIKA65656.2025.11008388" TargetMode="External"/><Relationship Id="rId32" Type="http://schemas.openxmlformats.org/officeDocument/2006/relationships/hyperlink" Target="https://doi.org/10.1007/978-3-031-70890-9_23" TargetMode="External"/><Relationship Id="rId33" Type="http://schemas.openxmlformats.org/officeDocument/2006/relationships/hyperlink" Target="https://doi.org/10.1109/ESCI68015.2026.11493218" TargetMode="External"/><Relationship Id="rId34" Type="http://schemas.openxmlformats.org/officeDocument/2006/relationships/hyperlink" Target="https://doi.org/10.1007/978-3-031-48981-5_9" TargetMode="External"/><Relationship Id="rId35" Type="http://schemas.openxmlformats.org/officeDocument/2006/relationships/hyperlink" Target="https://doi.org/10.1007/978-3-032-09368-4_1" TargetMode="External"/><Relationship Id="rId36" Type="http://schemas.openxmlformats.org/officeDocument/2006/relationships/hyperlink" Target="https://doi.org/10.1109/ICIPCN67432.2026.11438673" TargetMode="External"/><Relationship Id="rId37" Type="http://schemas.openxmlformats.org/officeDocument/2006/relationships/hyperlink" Target="https://doi.org/10.1109/ICICDS70526.2026.11604798" TargetMode="External"/><Relationship Id="rId38" Type="http://schemas.openxmlformats.org/officeDocument/2006/relationships/hyperlink" Target="https://doi.org/10.1109/IALP68296.2024.11156876" TargetMode="External"/><Relationship Id="rId39" Type="http://schemas.openxmlformats.org/officeDocument/2006/relationships/hyperlink" Target="https://doi.org/10.18653/v1/2025.acl-long.1329" TargetMode="External"/><Relationship Id="rId40" Type="http://schemas.openxmlformats.org/officeDocument/2006/relationships/hyperlink" Target="https://doi.org/10.1109/COMPSAC61105.2024.00135" TargetMode="External"/><Relationship Id="rId41" Type="http://schemas.openxmlformats.org/officeDocument/2006/relationships/hyperlink" Target="https://doi.org/10.1109/CSCWD61410.2024.10580575" TargetMode="External"/><Relationship Id="rId42" Type="http://schemas.openxmlformats.org/officeDocument/2006/relationships/hyperlink" Target="https://doi.org/10.1109/IALP63756.2024.10661176" TargetMode="External"/><Relationship Id="rId43" Type="http://schemas.openxmlformats.org/officeDocument/2006/relationships/hyperlink" Target="https://doi.org/10.1109/ICASST68917.2026.11484150" TargetMode="External"/><Relationship Id="rId44" Type="http://schemas.openxmlformats.org/officeDocument/2006/relationships/hyperlink" Target="https://doi.org/10.1109/ACCESS.2026.3669713" TargetMode="External"/><Relationship Id="rId45" Type="http://schemas.openxmlformats.org/officeDocument/2006/relationships/hyperlink" Target="https://doi.org/10.1186/s12911-024-02609-w" TargetMode="External"/><Relationship Id="rId46" Type="http://schemas.openxmlformats.org/officeDocument/2006/relationships/hyperlink" Target="https://doi.org/10.1109/ICETCS61022.2024.10543557" TargetMode="External"/><Relationship Id="rId47" Type="http://schemas.openxmlformats.org/officeDocument/2006/relationships/hyperlink" Target="https://doi.org/10.1016/j.jbi.2022.104215" TargetMode="External"/><Relationship Id="rId48" Type="http://schemas.openxmlformats.org/officeDocument/2006/relationships/hyperlink" Target="https://doi.org/10.1007/978-981-97-0942-7_19" TargetMode="External"/><Relationship Id="rId49" Type="http://schemas.openxmlformats.org/officeDocument/2006/relationships/hyperlink" Target="https://doi.org/10.1109/ICISESSC68634.2026.11542816" TargetMode="External"/><Relationship Id="rId50" Type="http://schemas.openxmlformats.org/officeDocument/2006/relationships/hyperlink" Target="https://doi.org/10.3390/math12172791" TargetMode="External"/><Relationship Id="rId51" Type="http://schemas.openxmlformats.org/officeDocument/2006/relationships/hyperlink" Target="https://doi.org/10.1109/SoutheastCon63549.2026.11476327" TargetMode="External"/><Relationship Id="rId52" Type="http://schemas.openxmlformats.org/officeDocument/2006/relationships/hyperlink" Target="https://doi.org/10.1007/978-3-031-70890-9_12" TargetMode="External"/><Relationship Id="rId53" Type="http://schemas.openxmlformats.org/officeDocument/2006/relationships/hyperlink" Target="https://doi.org/10.1109/ICEECT61758.2024.10739264" TargetMode="External"/><Relationship Id="rId54" Type="http://schemas.openxmlformats.org/officeDocument/2006/relationships/hyperlink" Target="https://doi.org/10.1145/3803437.3806406" TargetMode="External"/><Relationship Id="rId55" Type="http://schemas.openxmlformats.org/officeDocument/2006/relationships/hyperlink" Target="https://doi.org/10.1007/978-981-97-7966-6_2" TargetMode="External"/><Relationship Id="rId56" Type="http://schemas.openxmlformats.org/officeDocument/2006/relationships/hyperlink" Target="https://doi.org/10.1007/978-3-031-25467-3_7" TargetMode="External"/><Relationship Id="rId57" Type="http://schemas.openxmlformats.org/officeDocument/2006/relationships/hyperlink" Target="https://doi.org/10.36922/AIH025120021" TargetMode="External"/><Relationship Id="rId58" Type="http://schemas.openxmlformats.org/officeDocument/2006/relationships/hyperlink" Target="https://doi.org/10.1007/978-3-032-02049-9_29" TargetMode="External"/><Relationship Id="rId59" Type="http://schemas.openxmlformats.org/officeDocument/2006/relationships/hyperlink" Target="https://doi.org/10.1109/I-PACT58649.2023.10434879" TargetMode="External"/><Relationship Id="rId60" Type="http://schemas.openxmlformats.org/officeDocument/2006/relationships/hyperlink" Target="https://doi.org/10.1109/ICHI64645.2025.00077" TargetMode="External"/><Relationship Id="rId61" Type="http://schemas.openxmlformats.org/officeDocument/2006/relationships/hyperlink" Target="https://doi.org/10.1109/AICCSA63423.2024.10912540" TargetMode="External"/><Relationship Id="rId62" Type="http://schemas.openxmlformats.org/officeDocument/2006/relationships/hyperlink" Target="https://doi.org/10.1016/j.asoc.2023.110540" TargetMode="External"/><Relationship Id="rId63" Type="http://schemas.openxmlformats.org/officeDocument/2006/relationships/hyperlink" Target="https://doi.org/10.1109/ICECIT67774.2025.11450940" TargetMode="External"/><Relationship Id="rId64" Type="http://schemas.openxmlformats.org/officeDocument/2006/relationships/hyperlink" Target="https://doi.org/10.3390/app16041692" TargetMode="External"/><Relationship Id="rId65" Type="http://schemas.openxmlformats.org/officeDocument/2006/relationships/hyperlink" Target="https://doi.org/10.22266/ijies2026.0930.53" TargetMode="External"/><Relationship Id="rId66" Type="http://schemas.openxmlformats.org/officeDocument/2006/relationships/hyperlink" Target="https://doi.org/10.1007/978-981-92-1947-6_42" TargetMode="External"/><Relationship Id="rId67" Type="http://schemas.openxmlformats.org/officeDocument/2006/relationships/hyperlink" Target="https://doi.org/10.1007/978-3-032-20907-8_37" TargetMode="External"/><Relationship Id="rId68" Type="http://schemas.openxmlformats.org/officeDocument/2006/relationships/hyperlink" Target="https://doi.org/10.1093/jamiaopen/ooae152" TargetMode="External"/><Relationship Id="rId69" Type="http://schemas.openxmlformats.org/officeDocument/2006/relationships/hyperlink" Target="https://doi.org/10.1109/ICRTEECT67512.2025.11448648" TargetMode="External"/><Relationship Id="rId70" Type="http://schemas.openxmlformats.org/officeDocument/2006/relationships/hyperlink" Target="https://doi.org/10.1007/s10506-024-09397-8" TargetMode="External"/><Relationship Id="rId71" Type="http://schemas.openxmlformats.org/officeDocument/2006/relationships/hyperlink" Target="https://doi.org/10.1007/978-3-031-93418-6_21" TargetMode="External"/><Relationship Id="rId72" Type="http://schemas.openxmlformats.org/officeDocument/2006/relationships/hyperlink" Target="https://doi.org/10.3390/info16010049" TargetMode="External"/><Relationship Id="rId73" Type="http://schemas.openxmlformats.org/officeDocument/2006/relationships/hyperlink" Target="https://doi.org/10.3390/electronics14193945" TargetMode="External"/><Relationship Id="rId74" Type="http://schemas.openxmlformats.org/officeDocument/2006/relationships/hyperlink" Target="https://doi.org/10.1109/GINOTECH63460.2025.11076720" TargetMode="External"/><Relationship Id="rId75" Type="http://schemas.openxmlformats.org/officeDocument/2006/relationships/hyperlink" Target="https://doi.org/10.3390/app14135682" TargetMode="External"/><Relationship Id="rId76" Type="http://schemas.openxmlformats.org/officeDocument/2006/relationships/hyperlink" Target="https://doi.org/10.1007/978-3-031-72344-5_26" TargetMode="External"/><Relationship Id="rId77" Type="http://schemas.openxmlformats.org/officeDocument/2006/relationships/hyperlink" Target="https://doi.org/10.3390/app16073332" TargetMode="External"/><Relationship Id="rId78" Type="http://schemas.openxmlformats.org/officeDocument/2006/relationships/hyperlink" Target="https://doi.org/10.3389/fpubh.2025.1717303" TargetMode="External"/><Relationship Id="rId79" Type="http://schemas.openxmlformats.org/officeDocument/2006/relationships/hyperlink" Target="https://doi.org/10.1016/j.procs.2025.04.144" TargetMode="External"/><Relationship Id="rId80" Type="http://schemas.openxmlformats.org/officeDocument/2006/relationships/hyperlink" Target="https://doi.org/10.1007/978-3-031-10542-5_26" TargetMode="External"/><Relationship Id="rId81" Type="http://schemas.openxmlformats.org/officeDocument/2006/relationships/hyperlink" Target="https://doi.org/10.1109/JAC-ECC67970.2025.11417603" TargetMode="External"/><Relationship Id="rId82" Type="http://schemas.openxmlformats.org/officeDocument/2006/relationships/hyperlink" Target="https://doi.org/10.1007/978-981-95-4788-3_17" TargetMode="External"/><Relationship Id="rId83" Type="http://schemas.openxmlformats.org/officeDocument/2006/relationships/hyperlink" Target="https://doi.org/10.1007/978-981-97-2977-7_50" TargetMode="External"/><Relationship Id="rId84" Type="http://schemas.openxmlformats.org/officeDocument/2006/relationships/hyperlink" Target="https://doi.org/10.1109/BigData55660.2022.10021086" TargetMode="External"/><Relationship Id="rId85" Type="http://schemas.openxmlformats.org/officeDocument/2006/relationships/hyperlink" Target="https://doi.org/10.1109/BigData66926.2025.11400743" TargetMode="External"/><Relationship Id="rId86" Type="http://schemas.openxmlformats.org/officeDocument/2006/relationships/hyperlink" Target="https://doi.org/10.1007/978-3-031-49407-9_58" TargetMode="External"/><Relationship Id="rId87" Type="http://schemas.openxmlformats.org/officeDocument/2006/relationships/hyperlink" Target="https://doi.org/10.1109/ICIRCA69024.2026.11570292" TargetMode="External"/><Relationship Id="rId88" Type="http://schemas.openxmlformats.org/officeDocument/2006/relationships/hyperlink" Target="https://doi.org/10.1007/978-3-032-23341-7_13" TargetMode="External"/><Relationship Id="rId89" Type="http://schemas.openxmlformats.org/officeDocument/2006/relationships/hyperlink" Target="https://doi.org/10.1109/ACAIT67930.2025.11521998" TargetMode="External"/><Relationship Id="rId90" Type="http://schemas.openxmlformats.org/officeDocument/2006/relationships/hyperlink" Target="https://doi.org/10.1109/COMP-SIF65618.2025.10969858" TargetMode="External"/><Relationship Id="rId91" Type="http://schemas.openxmlformats.org/officeDocument/2006/relationships/hyperlink" Target="https://doi.org/10.1016/j.csi.2026.104185" TargetMode="External"/><Relationship Id="rId92" Type="http://schemas.openxmlformats.org/officeDocument/2006/relationships/hyperlink" Target="https://doi.org/10.3390/ai5040134" TargetMode="External"/><Relationship Id="rId93" Type="http://schemas.openxmlformats.org/officeDocument/2006/relationships/hyperlink" Target="https://doi.org/10.3233/ATDE250587" TargetMode="External"/><Relationship Id="rId94" Type="http://schemas.openxmlformats.org/officeDocument/2006/relationships/hyperlink" Target="https://doi.org/10.1186/s12911-024-02422-5" TargetMode="External"/><Relationship Id="rId95" Type="http://schemas.openxmlformats.org/officeDocument/2006/relationships/hyperlink" Target="https://doi.org/10.1038/s41598-025-04971-9" TargetMode="External"/><Relationship Id="rId96" Type="http://schemas.openxmlformats.org/officeDocument/2006/relationships/hyperlink" Target="https://doi.org/10.1007/978-3-031-47546-7_13" TargetMode="External"/><Relationship Id="rId97" Type="http://schemas.openxmlformats.org/officeDocument/2006/relationships/hyperlink" Target="https://doi.org/10.1145/3803817.3803826" TargetMode="External"/><Relationship Id="rId98" Type="http://schemas.openxmlformats.org/officeDocument/2006/relationships/hyperlink" Target="https://doi.org/10.1109/ICIRCA65293.2025.11089654" TargetMode="External"/><Relationship Id="rId99" Type="http://schemas.openxmlformats.org/officeDocument/2006/relationships/hyperlink" Target="https://doi.org/10.3233/SHTI260440" TargetMode="External"/><Relationship Id="rId100" Type="http://schemas.openxmlformats.org/officeDocument/2006/relationships/hyperlink" Target="https://doi.org/10.1109/ICICV68925.2026.11554890" TargetMode="External"/><Relationship Id="rId101" Type="http://schemas.openxmlformats.org/officeDocument/2006/relationships/hyperlink" Target="https://doi.org/10.26615/978-954-452-098-4-154" TargetMode="External"/><Relationship Id="rId102" Type="http://schemas.openxmlformats.org/officeDocument/2006/relationships/hyperlink" Target="https://doi.org/10.1109/IICC69623.2026.11582683" TargetMode="External"/><Relationship Id="rId103" Type="http://schemas.openxmlformats.org/officeDocument/2006/relationships/hyperlink" Target="https://doi.org/10.1177/03611981261447268" TargetMode="External"/><Relationship Id="rId104" Type="http://schemas.openxmlformats.org/officeDocument/2006/relationships/hyperlink" Target="https://doi.org/10.1109/TPS-ISA67132.2025.00025" TargetMode="External"/><Relationship Id="rId105" Type="http://schemas.openxmlformats.org/officeDocument/2006/relationships/hyperlink" Target="https://doi.org/10.3390/electronics14081636" TargetMode="External"/><Relationship Id="rId106" Type="http://schemas.openxmlformats.org/officeDocument/2006/relationships/hyperlink" Target="https://doi.org/10.1007/978-3-031-78090-5_14" TargetMode="External"/><Relationship Id="rId107" Type="http://schemas.openxmlformats.org/officeDocument/2006/relationships/hyperlink" Target="https://doi.org/10.1109/IC2SDT68218.2025.11383622" TargetMode="External"/><Relationship Id="rId108" Type="http://schemas.openxmlformats.org/officeDocument/2006/relationships/hyperlink" Target="https://doi.org/10.1109/ICCCNT56998.2023.10307924" TargetMode="External"/><Relationship Id="rId109" Type="http://schemas.openxmlformats.org/officeDocument/2006/relationships/hyperlink" Target="https://doi.org/10.1109/BigData62323.2024.10825282" TargetMode="External"/><Relationship Id="rId110" Type="http://schemas.openxmlformats.org/officeDocument/2006/relationships/hyperlink" Target="https://doi.org/10.1007/978-3-031-39821-6_17" TargetMode="External"/><Relationship Id="rId111" Type="http://schemas.openxmlformats.org/officeDocument/2006/relationships/hyperlink" Target="https://doi.org/10.1049/icp.2024.0971" TargetMode="External"/><Relationship Id="rId112" Type="http://schemas.openxmlformats.org/officeDocument/2006/relationships/hyperlink" Target="https://doi.org/10.1109/ESEM64174.2025.00021" TargetMode="External"/><Relationship Id="rId113" Type="http://schemas.openxmlformats.org/officeDocument/2006/relationships/hyperlink" Target="https://doi.org/10.1007/978-981-97-7966-6_3" TargetMode="External"/><Relationship Id="rId114" Type="http://schemas.openxmlformats.org/officeDocument/2006/relationships/hyperlink" Target="https://doi.org/10.1186/s44147-026-00965-0" TargetMode="External"/><Relationship Id="rId115" Type="http://schemas.openxmlformats.org/officeDocument/2006/relationships/hyperlink" Target="https://doi.org/10.1109/ICECMSN68058.2025.11383400" TargetMode="External"/><Relationship Id="rId116" Type="http://schemas.openxmlformats.org/officeDocument/2006/relationships/hyperlink" Target="https://doi.org/10.3390/electronics14224451" TargetMode="External"/><Relationship Id="rId117" Type="http://schemas.openxmlformats.org/officeDocument/2006/relationships/hyperlink" Target="https://doi.org/10.1109/COMSNETS56262.2023.10041388" TargetMode="External"/><Relationship Id="rId118" Type="http://schemas.openxmlformats.org/officeDocument/2006/relationships/hyperlink" Target="https://doi.org/10.1007/978-3-032-25958-5_23" TargetMode="External"/><Relationship Id="rId11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6"/>
    <col collapsed="false" customWidth="true" hidden="false" outlineLevel="0" max="5" min="5" style="0" width="60"/>
  </cols>
  <sheetData>
    <row r="1" customFormat="false" ht="32.8" hidden="false" customHeight="false" outlineLevel="0" collapsed="false">
      <c r="A1" s="1" t="s">
        <v>0</v>
      </c>
    </row>
    <row r="2" customFormat="false" ht="27.75" hidden="false" customHeight="true" outlineLevel="0" collapsed="false">
      <c r="A2" s="2" t="s">
        <v>1</v>
      </c>
      <c r="B2" s="2"/>
      <c r="C2" s="2"/>
      <c r="D2" s="2"/>
      <c r="E2" s="2"/>
    </row>
    <row r="4" customFormat="false" ht="15" hidden="false" customHeight="false" outlineLevel="0" collapsed="false">
      <c r="A4" s="3" t="s">
        <v>2</v>
      </c>
    </row>
    <row r="5" customFormat="false" ht="45"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6" t="s">
        <v>6</v>
      </c>
      <c r="C8" s="6"/>
      <c r="D8" s="6"/>
      <c r="E8" s="6"/>
    </row>
    <row r="9" customFormat="false" ht="15" hidden="false" customHeight="true" outlineLevel="0" collapsed="false">
      <c r="A9" s="5" t="s">
        <v>7</v>
      </c>
      <c r="B9" s="6" t="s">
        <v>8</v>
      </c>
      <c r="C9" s="6"/>
      <c r="D9" s="6"/>
      <c r="E9" s="6"/>
    </row>
    <row r="10" customFormat="false" ht="60" hidden="false" customHeight="true" outlineLevel="0" collapsed="false">
      <c r="A10" s="5" t="s">
        <v>9</v>
      </c>
      <c r="B10" s="6" t="s">
        <v>10</v>
      </c>
      <c r="C10" s="6"/>
      <c r="D10" s="6"/>
      <c r="E10" s="6"/>
    </row>
    <row r="11" customFormat="false" ht="15" hidden="false" customHeight="true" outlineLevel="0" collapsed="false">
      <c r="A11" s="5" t="s">
        <v>11</v>
      </c>
      <c r="B11" s="6" t="s">
        <v>12</v>
      </c>
      <c r="C11" s="6"/>
      <c r="D11" s="6"/>
      <c r="E11" s="6"/>
    </row>
    <row r="12" customFormat="false" ht="15" hidden="false" customHeight="true" outlineLevel="0" collapsed="false">
      <c r="A12" s="5" t="s">
        <v>13</v>
      </c>
      <c r="B12" s="6" t="s">
        <v>14</v>
      </c>
      <c r="C12" s="6"/>
      <c r="D12" s="6"/>
      <c r="E12" s="6"/>
    </row>
    <row r="14" customFormat="false" ht="15" hidden="false" customHeight="false" outlineLevel="0" collapsed="false">
      <c r="A14" s="3" t="s">
        <v>15</v>
      </c>
    </row>
    <row r="15" customFormat="false" ht="15" hidden="false" customHeight="false" outlineLevel="0" collapsed="false">
      <c r="A15" s="7" t="s">
        <v>16</v>
      </c>
      <c r="B15" s="7" t="s">
        <v>13</v>
      </c>
      <c r="C15" s="7" t="s">
        <v>17</v>
      </c>
      <c r="D15" s="7" t="s">
        <v>18</v>
      </c>
    </row>
    <row r="16" customFormat="false" ht="15" hidden="false" customHeight="false" outlineLevel="0" collapsed="false">
      <c r="A16" s="5" t="s">
        <v>19</v>
      </c>
      <c r="B16" s="8" t="n">
        <f aca="false">COUNTIF(Cribado!$H$2:$H$127,A16)</f>
        <v>85</v>
      </c>
      <c r="C16" s="9" t="n">
        <f aca="false">B16/$B$19</f>
        <v>0.674603174603175</v>
      </c>
      <c r="D16" s="8" t="n">
        <v>78</v>
      </c>
    </row>
    <row r="17" customFormat="false" ht="15" hidden="false" customHeight="false" outlineLevel="0" collapsed="false">
      <c r="A17" s="5" t="s">
        <v>20</v>
      </c>
      <c r="B17" s="8" t="n">
        <f aca="false">COUNTIF(Cribado!$H$2:$H$127,A17)</f>
        <v>25</v>
      </c>
      <c r="C17" s="9" t="n">
        <f aca="false">B17/$B$19</f>
        <v>0.198412698412698</v>
      </c>
      <c r="D17" s="8" t="n">
        <v>30</v>
      </c>
    </row>
    <row r="18" customFormat="false" ht="15" hidden="false" customHeight="false" outlineLevel="0" collapsed="false">
      <c r="A18" s="5" t="s">
        <v>21</v>
      </c>
      <c r="B18" s="8" t="n">
        <f aca="false">COUNTIF(Cribado!$H$2:$H$127,A18)</f>
        <v>16</v>
      </c>
      <c r="C18" s="9" t="n">
        <f aca="false">B18/$B$19</f>
        <v>0.126984126984127</v>
      </c>
      <c r="D18" s="8" t="n">
        <v>18</v>
      </c>
    </row>
    <row r="19" customFormat="false" ht="15" hidden="false" customHeight="false" outlineLevel="0" collapsed="false">
      <c r="A19" s="5" t="s">
        <v>22</v>
      </c>
      <c r="B19" s="10" t="n">
        <f aca="false">SUM(B16:B18)</f>
        <v>126</v>
      </c>
      <c r="D19" s="10" t="n">
        <f aca="false">SUM(D16:D18)</f>
        <v>126</v>
      </c>
    </row>
    <row r="20" customFormat="false" ht="23.85" hidden="false" customHeight="false" outlineLevel="0" collapsed="false">
      <c r="A20" s="5" t="s">
        <v>23</v>
      </c>
      <c r="B20" s="8" t="n">
        <f aca="false">SUMPRODUCT(--(Cribado!$H$2:$H$127&lt;&gt;Cribado!$K$2:$K$127))</f>
        <v>24</v>
      </c>
    </row>
    <row r="21" customFormat="false" ht="23.85" hidden="false" customHeight="false" outlineLevel="0" collapsed="false">
      <c r="A21" s="5" t="s">
        <v>24</v>
      </c>
      <c r="B21" s="8" t="n">
        <f aca="false">COUNTIF(Cribado!$AQ$2:$AQ$127,"Abstract y texto completo")</f>
        <v>10</v>
      </c>
    </row>
    <row r="23" customFormat="false" ht="15" hidden="false" customHeight="false" outlineLevel="0" collapsed="false">
      <c r="A23" s="3" t="s">
        <v>25</v>
      </c>
    </row>
    <row r="24" customFormat="false" ht="42" hidden="false" customHeight="true" outlineLevel="0" collapsed="false">
      <c r="A24" s="5" t="s">
        <v>26</v>
      </c>
      <c r="B24" s="6" t="s">
        <v>27</v>
      </c>
      <c r="C24" s="6"/>
      <c r="D24" s="6"/>
      <c r="E24" s="6"/>
    </row>
    <row r="25" customFormat="false" ht="42" hidden="false" customHeight="true" outlineLevel="0" collapsed="false">
      <c r="A25" s="5" t="s">
        <v>28</v>
      </c>
      <c r="B25" s="6" t="s">
        <v>29</v>
      </c>
      <c r="C25" s="6"/>
      <c r="D25" s="6"/>
      <c r="E25" s="6"/>
    </row>
    <row r="26" customFormat="false" ht="42" hidden="false" customHeight="true" outlineLevel="0" collapsed="false">
      <c r="A26" s="5" t="s">
        <v>30</v>
      </c>
      <c r="B26" s="6" t="s">
        <v>31</v>
      </c>
      <c r="C26" s="6"/>
      <c r="D26" s="6"/>
      <c r="E26" s="6"/>
    </row>
    <row r="27" customFormat="false" ht="42" hidden="false" customHeight="true" outlineLevel="0" collapsed="false">
      <c r="A27" s="5" t="s">
        <v>32</v>
      </c>
      <c r="B27" s="6" t="s">
        <v>33</v>
      </c>
      <c r="C27" s="6"/>
      <c r="D27" s="6"/>
      <c r="E27" s="6"/>
    </row>
    <row r="28" customFormat="false" ht="42" hidden="false" customHeight="true" outlineLevel="0" collapsed="false">
      <c r="A28" s="5" t="s">
        <v>34</v>
      </c>
      <c r="B28" s="6" t="s">
        <v>35</v>
      </c>
      <c r="C28" s="6"/>
      <c r="D28" s="6"/>
      <c r="E28" s="6"/>
    </row>
    <row r="29" customFormat="false" ht="42" hidden="false" customHeight="true" outlineLevel="0" collapsed="false">
      <c r="A29" s="5" t="s">
        <v>36</v>
      </c>
      <c r="B29" s="6" t="s">
        <v>37</v>
      </c>
      <c r="C29" s="6"/>
      <c r="D29" s="6"/>
      <c r="E29" s="6"/>
    </row>
    <row r="31" customFormat="false" ht="15" hidden="false" customHeight="false" outlineLevel="0" collapsed="false">
      <c r="A31" s="3" t="s">
        <v>38</v>
      </c>
    </row>
    <row r="32" customFormat="false" ht="31.5" hidden="false" customHeight="true" outlineLevel="0" collapsed="false">
      <c r="A32" s="4" t="s">
        <v>39</v>
      </c>
      <c r="B32" s="4"/>
      <c r="C32" s="4"/>
      <c r="D32" s="4"/>
      <c r="E32" s="4"/>
    </row>
    <row r="33" customFormat="false" ht="31.5" hidden="false" customHeight="true" outlineLevel="0" collapsed="false">
      <c r="A33" s="4" t="s">
        <v>40</v>
      </c>
      <c r="B33" s="4"/>
      <c r="C33" s="4"/>
      <c r="D33" s="4"/>
      <c r="E33" s="4"/>
    </row>
    <row r="34" customFormat="false" ht="31.5" hidden="false" customHeight="true" outlineLevel="0" collapsed="false">
      <c r="A34" s="4" t="s">
        <v>41</v>
      </c>
      <c r="B34" s="4"/>
      <c r="C34" s="4"/>
      <c r="D34" s="4"/>
      <c r="E34" s="4"/>
    </row>
    <row r="35" customFormat="false" ht="31.5" hidden="false" customHeight="true" outlineLevel="0" collapsed="false">
      <c r="A35" s="4" t="s">
        <v>42</v>
      </c>
      <c r="B35" s="4"/>
      <c r="C35" s="4"/>
      <c r="D35" s="4"/>
      <c r="E35" s="4"/>
    </row>
  </sheetData>
  <mergeCells count="17">
    <mergeCell ref="A2:E2"/>
    <mergeCell ref="A5:E5"/>
    <mergeCell ref="B8:E8"/>
    <mergeCell ref="B9:E9"/>
    <mergeCell ref="B10:E10"/>
    <mergeCell ref="B11:E11"/>
    <mergeCell ref="B12:E12"/>
    <mergeCell ref="B24:E24"/>
    <mergeCell ref="B25:E25"/>
    <mergeCell ref="B26:E26"/>
    <mergeCell ref="B27:E27"/>
    <mergeCell ref="B28:E28"/>
    <mergeCell ref="B29:E29"/>
    <mergeCell ref="A32:E32"/>
    <mergeCell ref="A33:E33"/>
    <mergeCell ref="A34:E34"/>
    <mergeCell ref="A35:E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70"/>
    <col collapsed="false" customWidth="true" hidden="false" outlineLevel="0" max="4" min="4" style="0" width="40"/>
  </cols>
  <sheetData>
    <row r="1" customFormat="false" ht="48.5" hidden="false" customHeight="false" outlineLevel="0" collapsed="false">
      <c r="A1" s="1" t="s">
        <v>43</v>
      </c>
    </row>
    <row r="3" customFormat="false" ht="39.55" hidden="false" customHeight="false" outlineLevel="0" collapsed="false">
      <c r="A3" s="3" t="s">
        <v>44</v>
      </c>
    </row>
    <row r="4" customFormat="false" ht="15" hidden="false" customHeight="false" outlineLevel="0" collapsed="false">
      <c r="A4" s="7" t="s">
        <v>45</v>
      </c>
      <c r="B4" s="7" t="s">
        <v>46</v>
      </c>
      <c r="C4" s="7" t="s">
        <v>45</v>
      </c>
      <c r="D4" s="7" t="s">
        <v>47</v>
      </c>
    </row>
    <row r="5" customFormat="false" ht="15" hidden="false" customHeight="false" outlineLevel="0" collapsed="false">
      <c r="A5" s="5" t="s">
        <v>48</v>
      </c>
      <c r="B5" s="6" t="s">
        <v>49</v>
      </c>
      <c r="C5" s="6" t="s">
        <v>50</v>
      </c>
      <c r="D5" s="6" t="s">
        <v>51</v>
      </c>
    </row>
    <row r="6" customFormat="false" ht="15" hidden="false" customHeight="false" outlineLevel="0" collapsed="false">
      <c r="A6" s="5" t="s">
        <v>52</v>
      </c>
      <c r="B6" s="6" t="s">
        <v>53</v>
      </c>
      <c r="C6" s="6" t="s">
        <v>54</v>
      </c>
      <c r="D6" s="6" t="s">
        <v>55</v>
      </c>
    </row>
    <row r="7" customFormat="false" ht="15" hidden="false" customHeight="false" outlineLevel="0" collapsed="false">
      <c r="A7" s="5" t="s">
        <v>56</v>
      </c>
      <c r="B7" s="6" t="s">
        <v>57</v>
      </c>
      <c r="C7" s="6" t="s">
        <v>58</v>
      </c>
      <c r="D7" s="6" t="s">
        <v>59</v>
      </c>
    </row>
    <row r="8" customFormat="false" ht="23.85" hidden="false" customHeight="false" outlineLevel="0" collapsed="false">
      <c r="A8" s="5" t="s">
        <v>60</v>
      </c>
      <c r="B8" s="6" t="s">
        <v>61</v>
      </c>
      <c r="C8" s="6" t="s">
        <v>62</v>
      </c>
      <c r="D8" s="6" t="s">
        <v>63</v>
      </c>
    </row>
    <row r="10" customFormat="false" ht="26.85" hidden="false" customHeight="false" outlineLevel="0" collapsed="false">
      <c r="A10" s="3" t="s">
        <v>64</v>
      </c>
    </row>
    <row r="11" customFormat="false" ht="15" hidden="false" customHeight="false" outlineLevel="0" collapsed="false">
      <c r="A11" s="7" t="s">
        <v>65</v>
      </c>
      <c r="B11" s="7" t="s">
        <v>16</v>
      </c>
      <c r="C11" s="7" t="s">
        <v>66</v>
      </c>
      <c r="D11" s="7" t="s">
        <v>67</v>
      </c>
    </row>
    <row r="12" customFormat="false" ht="35.05" hidden="false" customHeight="false" outlineLevel="0" collapsed="false">
      <c r="A12" s="5" t="s">
        <v>68</v>
      </c>
      <c r="B12" s="5" t="s">
        <v>19</v>
      </c>
      <c r="C12" s="6" t="s">
        <v>69</v>
      </c>
      <c r="D12" s="6" t="s">
        <v>70</v>
      </c>
    </row>
    <row r="13" customFormat="false" ht="23.85" hidden="false" customHeight="false" outlineLevel="0" collapsed="false">
      <c r="A13" s="5" t="s">
        <v>71</v>
      </c>
      <c r="B13" s="5" t="s">
        <v>20</v>
      </c>
      <c r="C13" s="6" t="s">
        <v>72</v>
      </c>
      <c r="D13" s="6" t="s">
        <v>73</v>
      </c>
    </row>
    <row r="14" customFormat="false" ht="23.85" hidden="false" customHeight="false" outlineLevel="0" collapsed="false">
      <c r="A14" s="5" t="s">
        <v>74</v>
      </c>
      <c r="B14" s="5" t="s">
        <v>20</v>
      </c>
      <c r="C14" s="6" t="s">
        <v>75</v>
      </c>
      <c r="D14" s="6" t="s">
        <v>76</v>
      </c>
    </row>
    <row r="15" customFormat="false" ht="23.85" hidden="false" customHeight="false" outlineLevel="0" collapsed="false">
      <c r="A15" s="5" t="s">
        <v>77</v>
      </c>
      <c r="B15" s="5" t="s">
        <v>20</v>
      </c>
      <c r="C15" s="6" t="s">
        <v>78</v>
      </c>
      <c r="D15" s="6" t="s">
        <v>79</v>
      </c>
    </row>
    <row r="16" customFormat="false" ht="23.85" hidden="false" customHeight="false" outlineLevel="0" collapsed="false">
      <c r="A16" s="5" t="s">
        <v>80</v>
      </c>
      <c r="B16" s="5" t="s">
        <v>20</v>
      </c>
      <c r="C16" s="6" t="s">
        <v>81</v>
      </c>
      <c r="D16" s="6" t="s">
        <v>82</v>
      </c>
    </row>
    <row r="17" customFormat="false" ht="15" hidden="false" customHeight="false" outlineLevel="0" collapsed="false">
      <c r="A17" s="5" t="s">
        <v>83</v>
      </c>
      <c r="B17" s="5" t="s">
        <v>20</v>
      </c>
      <c r="C17" s="6" t="s">
        <v>84</v>
      </c>
      <c r="D17" s="6" t="s">
        <v>85</v>
      </c>
    </row>
    <row r="18" customFormat="false" ht="15" hidden="false" customHeight="false" outlineLevel="0" collapsed="false">
      <c r="A18" s="5" t="s">
        <v>86</v>
      </c>
      <c r="B18" s="5" t="s">
        <v>21</v>
      </c>
      <c r="C18" s="6" t="s">
        <v>87</v>
      </c>
      <c r="D18" s="6" t="s">
        <v>88</v>
      </c>
    </row>
    <row r="19" customFormat="false" ht="35.05" hidden="false" customHeight="false" outlineLevel="0" collapsed="false">
      <c r="A19" s="5" t="s">
        <v>89</v>
      </c>
      <c r="B19" s="5" t="s">
        <v>21</v>
      </c>
      <c r="C19" s="6" t="s">
        <v>90</v>
      </c>
      <c r="D19" s="6" t="s">
        <v>91</v>
      </c>
    </row>
    <row r="20" customFormat="false" ht="15" hidden="false" customHeight="false" outlineLevel="0" collapsed="false">
      <c r="A20" s="5" t="s">
        <v>92</v>
      </c>
      <c r="B20" s="5" t="s">
        <v>21</v>
      </c>
      <c r="C20" s="6" t="s">
        <v>93</v>
      </c>
      <c r="D20" s="6" t="s">
        <v>94</v>
      </c>
    </row>
    <row r="21" customFormat="false" ht="15" hidden="false" customHeight="true" outlineLevel="0" collapsed="false">
      <c r="A21" s="2" t="s">
        <v>95</v>
      </c>
      <c r="B21" s="2"/>
      <c r="C21" s="2"/>
      <c r="D21" s="2"/>
    </row>
    <row r="23" customFormat="false" ht="39.55" hidden="false" customHeight="false" outlineLevel="0" collapsed="false">
      <c r="A23" s="3" t="s">
        <v>96</v>
      </c>
    </row>
    <row r="24" customFormat="false" ht="15" hidden="false" customHeight="false" outlineLevel="0" collapsed="false">
      <c r="A24" s="7" t="s">
        <v>97</v>
      </c>
      <c r="B24" s="7" t="s">
        <v>98</v>
      </c>
      <c r="C24" s="7" t="s">
        <v>99</v>
      </c>
      <c r="D24" s="7"/>
    </row>
    <row r="25" customFormat="false" ht="35.05" hidden="false" customHeight="false" outlineLevel="0" collapsed="false">
      <c r="A25" s="5" t="s">
        <v>100</v>
      </c>
      <c r="B25" s="6" t="s">
        <v>101</v>
      </c>
      <c r="C25" s="6" t="s">
        <v>102</v>
      </c>
    </row>
    <row r="26" customFormat="false" ht="23.85" hidden="false" customHeight="false" outlineLevel="0" collapsed="false">
      <c r="A26" s="5" t="s">
        <v>103</v>
      </c>
      <c r="B26" s="6" t="s">
        <v>104</v>
      </c>
      <c r="C26" s="6" t="s">
        <v>105</v>
      </c>
    </row>
    <row r="27" customFormat="false" ht="46.25" hidden="false" customHeight="false" outlineLevel="0" collapsed="false">
      <c r="A27" s="5" t="s">
        <v>106</v>
      </c>
      <c r="B27" s="6" t="s">
        <v>107</v>
      </c>
      <c r="C27" s="6" t="s">
        <v>108</v>
      </c>
    </row>
    <row r="28" customFormat="false" ht="35.05" hidden="false" customHeight="false" outlineLevel="0" collapsed="false">
      <c r="A28" s="5" t="s">
        <v>109</v>
      </c>
      <c r="B28" s="6" t="s">
        <v>110</v>
      </c>
      <c r="C28" s="6" t="s">
        <v>111</v>
      </c>
    </row>
    <row r="29" customFormat="false" ht="35.05" hidden="false" customHeight="false" outlineLevel="0" collapsed="false">
      <c r="A29" s="5" t="s">
        <v>112</v>
      </c>
      <c r="B29" s="6" t="s">
        <v>113</v>
      </c>
      <c r="C29" s="6" t="s">
        <v>114</v>
      </c>
    </row>
    <row r="30" customFormat="false" ht="35.05" hidden="false" customHeight="false" outlineLevel="0" collapsed="false">
      <c r="A30" s="5" t="s">
        <v>115</v>
      </c>
      <c r="B30" s="6" t="s">
        <v>110</v>
      </c>
      <c r="C30" s="6" t="s">
        <v>116</v>
      </c>
    </row>
    <row r="31" customFormat="false" ht="57.45" hidden="false" customHeight="false" outlineLevel="0" collapsed="false">
      <c r="A31" s="5" t="s">
        <v>117</v>
      </c>
      <c r="B31" s="6" t="s">
        <v>118</v>
      </c>
      <c r="C31" s="6" t="s">
        <v>119</v>
      </c>
    </row>
    <row r="32" customFormat="false" ht="46.25" hidden="false" customHeight="false" outlineLevel="0" collapsed="false">
      <c r="A32" s="5" t="s">
        <v>120</v>
      </c>
      <c r="B32" s="6" t="s">
        <v>118</v>
      </c>
      <c r="C32" s="6" t="s">
        <v>121</v>
      </c>
    </row>
    <row r="33" customFormat="false" ht="35.05" hidden="false" customHeight="false" outlineLevel="0" collapsed="false">
      <c r="A33" s="5" t="s">
        <v>122</v>
      </c>
      <c r="B33" s="6" t="s">
        <v>118</v>
      </c>
      <c r="C33" s="6" t="s">
        <v>123</v>
      </c>
    </row>
    <row r="34" customFormat="false" ht="35.05" hidden="false" customHeight="false" outlineLevel="0" collapsed="false">
      <c r="A34" s="5" t="s">
        <v>124</v>
      </c>
      <c r="B34" s="6" t="s">
        <v>125</v>
      </c>
      <c r="C34" s="6" t="s">
        <v>126</v>
      </c>
    </row>
  </sheetData>
  <mergeCells count="1">
    <mergeCell ref="A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6"/>
    <col collapsed="false" customWidth="true" hidden="false" outlineLevel="0" max="4" min="4" style="0" width="48"/>
    <col collapsed="false" customWidth="true" hidden="false" outlineLevel="0" max="5" min="5" style="0" width="28"/>
    <col collapsed="false" customWidth="true" hidden="false" outlineLevel="0" max="6" min="6" style="0" width="14"/>
    <col collapsed="false" customWidth="true" hidden="false" outlineLevel="0" max="7" min="7" style="0" width="22"/>
    <col collapsed="false" customWidth="true" hidden="false" outlineLevel="0" max="8" min="8" style="0" width="13"/>
    <col collapsed="false" customWidth="true" hidden="false" outlineLevel="0" max="9" min="9" style="0" width="7"/>
    <col collapsed="false" customWidth="true" hidden="false" outlineLevel="0" max="10" min="10" style="0" width="60"/>
    <col collapsed="false" customWidth="true" hidden="false" outlineLevel="0" max="11" min="11" style="0" width="14"/>
    <col collapsed="false" customWidth="true" hidden="false" outlineLevel="0" max="12" min="12" style="0" width="22"/>
    <col collapsed="false" customWidth="true" hidden="false" outlineLevel="0" max="13" min="13" style="0" width="20"/>
    <col collapsed="false" customWidth="true" hidden="false" outlineLevel="0" max="14" min="14" style="0" width="16"/>
    <col collapsed="false" customWidth="true" hidden="false" outlineLevel="0" max="15" min="15" style="0" width="18"/>
    <col collapsed="false" customWidth="true" hidden="false" outlineLevel="0" max="22" min="16" style="0" width="9"/>
    <col collapsed="false" customWidth="true" hidden="false" outlineLevel="0" max="23" min="23" style="0" width="10"/>
    <col collapsed="false" customWidth="true" hidden="false" outlineLevel="0" max="37" min="24" style="0" width="9"/>
    <col collapsed="false" customWidth="true" hidden="false" outlineLevel="0" max="40" min="38" style="0" width="12"/>
    <col collapsed="false" customWidth="true" hidden="false" outlineLevel="0" max="42" min="41" style="0" width="32"/>
    <col collapsed="false" customWidth="true" hidden="false" outlineLevel="0" max="43" min="43" style="0" width="16"/>
    <col collapsed="false" customWidth="true" hidden="false" outlineLevel="0" max="44" min="44" style="0" width="60"/>
  </cols>
  <sheetData>
    <row r="1" customFormat="false" ht="75" hidden="false" customHeight="true" outlineLevel="0" collapsed="false">
      <c r="A1" s="7" t="s">
        <v>127</v>
      </c>
      <c r="B1" s="7" t="s">
        <v>128</v>
      </c>
      <c r="C1" s="7" t="s">
        <v>129</v>
      </c>
      <c r="D1" s="7" t="s">
        <v>130</v>
      </c>
      <c r="E1" s="7" t="s">
        <v>5</v>
      </c>
      <c r="F1" s="7" t="s">
        <v>131</v>
      </c>
      <c r="G1" s="7" t="s">
        <v>132</v>
      </c>
      <c r="H1" s="7" t="s">
        <v>16</v>
      </c>
      <c r="I1" s="7" t="s">
        <v>65</v>
      </c>
      <c r="J1" s="7" t="s">
        <v>133</v>
      </c>
      <c r="K1" s="7" t="s">
        <v>134</v>
      </c>
      <c r="L1" s="7" t="s">
        <v>135</v>
      </c>
      <c r="M1" s="7" t="s">
        <v>103</v>
      </c>
      <c r="N1" s="7" t="s">
        <v>136</v>
      </c>
      <c r="O1" s="7" t="s">
        <v>106</v>
      </c>
      <c r="P1" s="7" t="s">
        <v>137</v>
      </c>
      <c r="Q1" s="7" t="s">
        <v>138</v>
      </c>
      <c r="R1" s="7" t="s">
        <v>139</v>
      </c>
      <c r="S1" s="7" t="s">
        <v>140</v>
      </c>
      <c r="T1" s="7" t="s">
        <v>141</v>
      </c>
      <c r="U1" s="7" t="s">
        <v>142</v>
      </c>
      <c r="V1" s="7" t="s">
        <v>143</v>
      </c>
      <c r="W1" s="7" t="s">
        <v>112</v>
      </c>
      <c r="X1" s="7" t="s">
        <v>144</v>
      </c>
      <c r="Y1" s="7" t="s">
        <v>145</v>
      </c>
      <c r="Z1" s="7" t="s">
        <v>146</v>
      </c>
      <c r="AA1" s="7" t="s">
        <v>147</v>
      </c>
      <c r="AB1" s="7" t="s">
        <v>148</v>
      </c>
      <c r="AC1" s="7" t="s">
        <v>149</v>
      </c>
      <c r="AD1" s="7" t="s">
        <v>150</v>
      </c>
      <c r="AE1" s="7" t="s">
        <v>151</v>
      </c>
      <c r="AF1" s="7" t="s">
        <v>152</v>
      </c>
      <c r="AG1" s="7" t="s">
        <v>153</v>
      </c>
      <c r="AH1" s="7" t="s">
        <v>154</v>
      </c>
      <c r="AI1" s="7" t="s">
        <v>155</v>
      </c>
      <c r="AJ1" s="7" t="s">
        <v>156</v>
      </c>
      <c r="AK1" s="7" t="s">
        <v>157</v>
      </c>
      <c r="AL1" s="7" t="s">
        <v>117</v>
      </c>
      <c r="AM1" s="7" t="s">
        <v>120</v>
      </c>
      <c r="AN1" s="7" t="s">
        <v>122</v>
      </c>
      <c r="AO1" s="7" t="s">
        <v>158</v>
      </c>
      <c r="AP1" s="7" t="s">
        <v>159</v>
      </c>
      <c r="AQ1" s="7" t="s">
        <v>124</v>
      </c>
      <c r="AR1" s="7" t="s">
        <v>160</v>
      </c>
    </row>
    <row r="2" customFormat="false" ht="35.05" hidden="false" customHeight="false" outlineLevel="0" collapsed="false">
      <c r="A2" s="8" t="s">
        <v>161</v>
      </c>
      <c r="B2" s="11" t="s">
        <v>162</v>
      </c>
      <c r="C2" s="8" t="n">
        <v>2026</v>
      </c>
      <c r="D2" s="6" t="s">
        <v>163</v>
      </c>
      <c r="E2" s="11" t="s">
        <v>164</v>
      </c>
      <c r="F2" s="11" t="s">
        <v>165</v>
      </c>
      <c r="G2" s="12" t="s">
        <v>166</v>
      </c>
      <c r="H2" s="13" t="s">
        <v>19</v>
      </c>
      <c r="I2" s="8" t="s">
        <v>68</v>
      </c>
      <c r="J2" s="6" t="s">
        <v>167</v>
      </c>
      <c r="K2" s="11" t="s">
        <v>19</v>
      </c>
      <c r="L2" s="11" t="s">
        <v>168</v>
      </c>
      <c r="M2" s="11" t="s">
        <v>169</v>
      </c>
      <c r="N2" s="11" t="s">
        <v>170</v>
      </c>
      <c r="O2" s="11" t="s">
        <v>171</v>
      </c>
      <c r="P2" s="8" t="s">
        <v>172</v>
      </c>
      <c r="Q2" s="8"/>
      <c r="R2" s="8"/>
      <c r="S2" s="8" t="s">
        <v>172</v>
      </c>
      <c r="T2" s="8"/>
      <c r="U2" s="8" t="s">
        <v>172</v>
      </c>
      <c r="V2" s="8"/>
      <c r="W2" s="8" t="str">
        <f aca="false">IF(AND(P2="X",OR(R2="X",S2="X",T2="X")),"Sí","No")</f>
        <v>Sí</v>
      </c>
      <c r="X2" s="8" t="s">
        <v>172</v>
      </c>
      <c r="Y2" s="8"/>
      <c r="Z2" s="8"/>
      <c r="AA2" s="8"/>
      <c r="AB2" s="8"/>
      <c r="AC2" s="8"/>
      <c r="AD2" s="8"/>
      <c r="AE2" s="8"/>
      <c r="AF2" s="8"/>
      <c r="AG2" s="8"/>
      <c r="AH2" s="8"/>
      <c r="AI2" s="8"/>
      <c r="AJ2" s="8"/>
      <c r="AK2" s="8"/>
      <c r="AL2" s="8" t="s">
        <v>173</v>
      </c>
      <c r="AM2" s="8" t="s">
        <v>173</v>
      </c>
      <c r="AN2" s="8" t="s">
        <v>173</v>
      </c>
      <c r="AO2" s="6" t="s">
        <v>174</v>
      </c>
      <c r="AP2" s="6" t="s">
        <v>175</v>
      </c>
      <c r="AQ2" s="11" t="s">
        <v>160</v>
      </c>
      <c r="AR2" s="11" t="s">
        <v>176</v>
      </c>
    </row>
    <row r="3" customFormat="false" ht="23.85" hidden="false" customHeight="false" outlineLevel="0" collapsed="false">
      <c r="A3" s="8" t="s">
        <v>177</v>
      </c>
      <c r="B3" s="11" t="s">
        <v>178</v>
      </c>
      <c r="C3" s="8" t="n">
        <v>2025</v>
      </c>
      <c r="D3" s="6" t="s">
        <v>179</v>
      </c>
      <c r="E3" s="11" t="s">
        <v>180</v>
      </c>
      <c r="F3" s="11" t="s">
        <v>165</v>
      </c>
      <c r="G3" s="12" t="s">
        <v>181</v>
      </c>
      <c r="H3" s="13" t="s">
        <v>19</v>
      </c>
      <c r="I3" s="8" t="s">
        <v>68</v>
      </c>
      <c r="J3" s="6" t="s">
        <v>182</v>
      </c>
      <c r="K3" s="11" t="s">
        <v>19</v>
      </c>
      <c r="L3" s="11" t="s">
        <v>183</v>
      </c>
      <c r="M3" s="11" t="s">
        <v>184</v>
      </c>
      <c r="N3" s="11" t="s">
        <v>170</v>
      </c>
      <c r="O3" s="11" t="s">
        <v>171</v>
      </c>
      <c r="P3" s="8" t="s">
        <v>172</v>
      </c>
      <c r="Q3" s="8"/>
      <c r="R3" s="8" t="s">
        <v>172</v>
      </c>
      <c r="S3" s="8"/>
      <c r="T3" s="8"/>
      <c r="U3" s="8"/>
      <c r="V3" s="8"/>
      <c r="W3" s="8" t="str">
        <f aca="false">IF(AND(P3="X",OR(R3="X",S3="X",T3="X")),"Sí","No")</f>
        <v>Sí</v>
      </c>
      <c r="X3" s="8"/>
      <c r="Y3" s="8"/>
      <c r="Z3" s="8"/>
      <c r="AA3" s="8"/>
      <c r="AB3" s="8"/>
      <c r="AC3" s="8"/>
      <c r="AD3" s="8"/>
      <c r="AE3" s="8"/>
      <c r="AF3" s="8"/>
      <c r="AG3" s="8"/>
      <c r="AH3" s="8"/>
      <c r="AI3" s="8"/>
      <c r="AJ3" s="8"/>
      <c r="AK3" s="8"/>
      <c r="AL3" s="8" t="s">
        <v>173</v>
      </c>
      <c r="AM3" s="8" t="s">
        <v>173</v>
      </c>
      <c r="AN3" s="8" t="s">
        <v>173</v>
      </c>
      <c r="AO3" s="6" t="s">
        <v>170</v>
      </c>
      <c r="AP3" s="6" t="s">
        <v>185</v>
      </c>
      <c r="AQ3" s="11" t="s">
        <v>160</v>
      </c>
      <c r="AR3" s="11" t="s">
        <v>186</v>
      </c>
    </row>
    <row r="4" customFormat="false" ht="23.85" hidden="false" customHeight="false" outlineLevel="0" collapsed="false">
      <c r="A4" s="8" t="s">
        <v>94</v>
      </c>
      <c r="B4" s="11" t="s">
        <v>187</v>
      </c>
      <c r="C4" s="8" t="n">
        <v>2026</v>
      </c>
      <c r="D4" s="6" t="s">
        <v>188</v>
      </c>
      <c r="E4" s="11" t="s">
        <v>189</v>
      </c>
      <c r="F4" s="11" t="s">
        <v>165</v>
      </c>
      <c r="G4" s="12" t="s">
        <v>190</v>
      </c>
      <c r="H4" s="13" t="s">
        <v>21</v>
      </c>
      <c r="I4" s="8" t="s">
        <v>92</v>
      </c>
      <c r="J4" s="6" t="s">
        <v>191</v>
      </c>
      <c r="K4" s="11" t="s">
        <v>20</v>
      </c>
      <c r="L4" s="11" t="s">
        <v>192</v>
      </c>
      <c r="M4" s="11" t="s">
        <v>184</v>
      </c>
      <c r="N4" s="11" t="s">
        <v>193</v>
      </c>
      <c r="O4" s="11" t="s">
        <v>194</v>
      </c>
      <c r="P4" s="8" t="s">
        <v>172</v>
      </c>
      <c r="Q4" s="8"/>
      <c r="R4" s="8"/>
      <c r="S4" s="8"/>
      <c r="T4" s="8"/>
      <c r="U4" s="8"/>
      <c r="V4" s="8"/>
      <c r="W4" s="8" t="str">
        <f aca="false">IF(AND(P4="X",OR(R4="X",S4="X",T4="X")),"Sí","No")</f>
        <v>No</v>
      </c>
      <c r="X4" s="8"/>
      <c r="Y4" s="8"/>
      <c r="Z4" s="8"/>
      <c r="AA4" s="8"/>
      <c r="AB4" s="8"/>
      <c r="AC4" s="8"/>
      <c r="AD4" s="8"/>
      <c r="AE4" s="8"/>
      <c r="AF4" s="8"/>
      <c r="AG4" s="8"/>
      <c r="AH4" s="8"/>
      <c r="AI4" s="8"/>
      <c r="AJ4" s="8"/>
      <c r="AK4" s="8"/>
      <c r="AL4" s="8" t="s">
        <v>173</v>
      </c>
      <c r="AM4" s="8" t="s">
        <v>173</v>
      </c>
      <c r="AN4" s="8" t="s">
        <v>173</v>
      </c>
      <c r="AO4" s="6" t="s">
        <v>195</v>
      </c>
      <c r="AP4" s="6" t="s">
        <v>196</v>
      </c>
      <c r="AQ4" s="11" t="s">
        <v>160</v>
      </c>
      <c r="AR4" s="11" t="s">
        <v>197</v>
      </c>
    </row>
    <row r="5" customFormat="false" ht="23.85" hidden="false" customHeight="false" outlineLevel="0" collapsed="false">
      <c r="A5" s="8" t="s">
        <v>198</v>
      </c>
      <c r="B5" s="11" t="s">
        <v>199</v>
      </c>
      <c r="C5" s="8" t="n">
        <v>2026</v>
      </c>
      <c r="D5" s="6" t="s">
        <v>200</v>
      </c>
      <c r="E5" s="11" t="s">
        <v>201</v>
      </c>
      <c r="F5" s="11" t="s">
        <v>165</v>
      </c>
      <c r="G5" s="12" t="s">
        <v>202</v>
      </c>
      <c r="H5" s="13" t="s">
        <v>19</v>
      </c>
      <c r="I5" s="8" t="s">
        <v>68</v>
      </c>
      <c r="J5" s="6" t="s">
        <v>203</v>
      </c>
      <c r="K5" s="11" t="s">
        <v>19</v>
      </c>
      <c r="L5" s="11" t="s">
        <v>204</v>
      </c>
      <c r="M5" s="11" t="s">
        <v>205</v>
      </c>
      <c r="N5" s="11" t="s">
        <v>206</v>
      </c>
      <c r="O5" s="11" t="s">
        <v>206</v>
      </c>
      <c r="P5" s="8"/>
      <c r="Q5" s="8"/>
      <c r="R5" s="8"/>
      <c r="S5" s="8"/>
      <c r="T5" s="8" t="s">
        <v>172</v>
      </c>
      <c r="U5" s="8"/>
      <c r="V5" s="8"/>
      <c r="W5" s="8" t="str">
        <f aca="false">IF(AND(P5="X",OR(R5="X",S5="X",T5="X")),"Sí","No")</f>
        <v>No</v>
      </c>
      <c r="X5" s="8" t="s">
        <v>172</v>
      </c>
      <c r="Y5" s="8"/>
      <c r="Z5" s="8"/>
      <c r="AA5" s="8"/>
      <c r="AB5" s="8"/>
      <c r="AC5" s="8"/>
      <c r="AD5" s="8"/>
      <c r="AE5" s="8"/>
      <c r="AF5" s="8"/>
      <c r="AG5" s="8"/>
      <c r="AH5" s="8"/>
      <c r="AI5" s="8"/>
      <c r="AJ5" s="8"/>
      <c r="AK5" s="8"/>
      <c r="AL5" s="8" t="s">
        <v>173</v>
      </c>
      <c r="AM5" s="8" t="s">
        <v>173</v>
      </c>
      <c r="AN5" s="8" t="s">
        <v>173</v>
      </c>
      <c r="AO5" s="6" t="s">
        <v>207</v>
      </c>
      <c r="AP5" s="6" t="s">
        <v>208</v>
      </c>
      <c r="AQ5" s="11" t="s">
        <v>160</v>
      </c>
      <c r="AR5" s="11" t="s">
        <v>209</v>
      </c>
    </row>
    <row r="6" customFormat="false" ht="23.85" hidden="false" customHeight="false" outlineLevel="0" collapsed="false">
      <c r="A6" s="8" t="s">
        <v>210</v>
      </c>
      <c r="B6" s="11" t="s">
        <v>211</v>
      </c>
      <c r="C6" s="8" t="n">
        <v>2025</v>
      </c>
      <c r="D6" s="6" t="s">
        <v>212</v>
      </c>
      <c r="E6" s="11" t="s">
        <v>213</v>
      </c>
      <c r="F6" s="11" t="s">
        <v>214</v>
      </c>
      <c r="G6" s="12" t="s">
        <v>215</v>
      </c>
      <c r="H6" s="13" t="s">
        <v>19</v>
      </c>
      <c r="I6" s="8" t="s">
        <v>68</v>
      </c>
      <c r="J6" s="6" t="s">
        <v>216</v>
      </c>
      <c r="K6" s="11" t="s">
        <v>19</v>
      </c>
      <c r="L6" s="11" t="s">
        <v>217</v>
      </c>
      <c r="M6" s="11" t="s">
        <v>218</v>
      </c>
      <c r="N6" s="11" t="s">
        <v>206</v>
      </c>
      <c r="O6" s="11" t="s">
        <v>206</v>
      </c>
      <c r="P6" s="8" t="s">
        <v>172</v>
      </c>
      <c r="Q6" s="8" t="s">
        <v>172</v>
      </c>
      <c r="R6" s="8" t="s">
        <v>172</v>
      </c>
      <c r="S6" s="8"/>
      <c r="T6" s="8"/>
      <c r="U6" s="8"/>
      <c r="V6" s="8"/>
      <c r="W6" s="8" t="str">
        <f aca="false">IF(AND(P6="X",OR(R6="X",S6="X",T6="X")),"Sí","No")</f>
        <v>Sí</v>
      </c>
      <c r="X6" s="8" t="s">
        <v>172</v>
      </c>
      <c r="Y6" s="8"/>
      <c r="Z6" s="8"/>
      <c r="AA6" s="8" t="s">
        <v>172</v>
      </c>
      <c r="AB6" s="8"/>
      <c r="AC6" s="8"/>
      <c r="AD6" s="8"/>
      <c r="AE6" s="8"/>
      <c r="AF6" s="8"/>
      <c r="AG6" s="8"/>
      <c r="AH6" s="8"/>
      <c r="AI6" s="8"/>
      <c r="AJ6" s="8"/>
      <c r="AK6" s="8"/>
      <c r="AL6" s="8" t="s">
        <v>173</v>
      </c>
      <c r="AM6" s="8" t="s">
        <v>173</v>
      </c>
      <c r="AN6" s="8" t="s">
        <v>173</v>
      </c>
      <c r="AO6" s="6" t="s">
        <v>219</v>
      </c>
      <c r="AP6" s="6" t="s">
        <v>220</v>
      </c>
      <c r="AQ6" s="11" t="s">
        <v>160</v>
      </c>
      <c r="AR6" s="11" t="s">
        <v>221</v>
      </c>
    </row>
    <row r="7" customFormat="false" ht="57.45" hidden="false" customHeight="false" outlineLevel="0" collapsed="false">
      <c r="A7" s="8" t="s">
        <v>222</v>
      </c>
      <c r="B7" s="11" t="s">
        <v>223</v>
      </c>
      <c r="C7" s="8" t="n">
        <v>2025</v>
      </c>
      <c r="D7" s="6" t="s">
        <v>224</v>
      </c>
      <c r="E7" s="11" t="s">
        <v>225</v>
      </c>
      <c r="F7" s="11" t="s">
        <v>226</v>
      </c>
      <c r="G7" s="12" t="s">
        <v>227</v>
      </c>
      <c r="H7" s="13" t="s">
        <v>21</v>
      </c>
      <c r="I7" s="8" t="s">
        <v>86</v>
      </c>
      <c r="J7" s="6" t="s">
        <v>228</v>
      </c>
      <c r="K7" s="11" t="s">
        <v>21</v>
      </c>
      <c r="L7" s="11" t="s">
        <v>217</v>
      </c>
      <c r="M7" s="11" t="s">
        <v>218</v>
      </c>
      <c r="N7" s="11" t="s">
        <v>229</v>
      </c>
      <c r="O7" s="11" t="s">
        <v>171</v>
      </c>
      <c r="P7" s="8"/>
      <c r="Q7" s="8"/>
      <c r="R7" s="8"/>
      <c r="S7" s="8"/>
      <c r="T7" s="8"/>
      <c r="U7" s="8"/>
      <c r="V7" s="8"/>
      <c r="W7" s="8" t="str">
        <f aca="false">IF(AND(P7="X",OR(R7="X",S7="X",T7="X")),"Sí","No")</f>
        <v>No</v>
      </c>
      <c r="X7" s="8"/>
      <c r="Y7" s="8"/>
      <c r="Z7" s="8"/>
      <c r="AA7" s="8"/>
      <c r="AB7" s="8"/>
      <c r="AC7" s="8"/>
      <c r="AD7" s="8"/>
      <c r="AE7" s="8"/>
      <c r="AF7" s="8"/>
      <c r="AG7" s="8"/>
      <c r="AH7" s="8"/>
      <c r="AI7" s="8"/>
      <c r="AJ7" s="8"/>
      <c r="AK7" s="8"/>
      <c r="AL7" s="8" t="s">
        <v>173</v>
      </c>
      <c r="AM7" s="8" t="s">
        <v>173</v>
      </c>
      <c r="AN7" s="8" t="s">
        <v>173</v>
      </c>
      <c r="AO7" s="6" t="s">
        <v>230</v>
      </c>
      <c r="AP7" s="6" t="s">
        <v>230</v>
      </c>
      <c r="AQ7" s="11" t="s">
        <v>160</v>
      </c>
      <c r="AR7" s="11" t="s">
        <v>231</v>
      </c>
    </row>
    <row r="8" customFormat="false" ht="23.85" hidden="false" customHeight="false" outlineLevel="0" collapsed="false">
      <c r="A8" s="8" t="s">
        <v>232</v>
      </c>
      <c r="B8" s="11" t="s">
        <v>233</v>
      </c>
      <c r="C8" s="8" t="n">
        <v>2025</v>
      </c>
      <c r="D8" s="6" t="s">
        <v>234</v>
      </c>
      <c r="E8" s="11" t="s">
        <v>235</v>
      </c>
      <c r="F8" s="11" t="s">
        <v>214</v>
      </c>
      <c r="G8" s="12" t="s">
        <v>236</v>
      </c>
      <c r="H8" s="13" t="s">
        <v>19</v>
      </c>
      <c r="I8" s="8" t="s">
        <v>68</v>
      </c>
      <c r="J8" s="6" t="s">
        <v>237</v>
      </c>
      <c r="K8" s="11" t="s">
        <v>19</v>
      </c>
      <c r="L8" s="11" t="s">
        <v>238</v>
      </c>
      <c r="M8" s="11" t="s">
        <v>239</v>
      </c>
      <c r="N8" s="11" t="s">
        <v>240</v>
      </c>
      <c r="O8" s="11" t="s">
        <v>194</v>
      </c>
      <c r="P8" s="8" t="s">
        <v>172</v>
      </c>
      <c r="Q8" s="8"/>
      <c r="R8" s="8" t="s">
        <v>172</v>
      </c>
      <c r="S8" s="8"/>
      <c r="T8" s="8"/>
      <c r="U8" s="8"/>
      <c r="V8" s="8"/>
      <c r="W8" s="8" t="str">
        <f aca="false">IF(AND(P8="X",OR(R8="X",S8="X",T8="X")),"Sí","No")</f>
        <v>Sí</v>
      </c>
      <c r="X8" s="8"/>
      <c r="Y8" s="8"/>
      <c r="Z8" s="8"/>
      <c r="AA8" s="8"/>
      <c r="AB8" s="8"/>
      <c r="AC8" s="8"/>
      <c r="AD8" s="8"/>
      <c r="AE8" s="8"/>
      <c r="AF8" s="8"/>
      <c r="AG8" s="8"/>
      <c r="AH8" s="8"/>
      <c r="AI8" s="8"/>
      <c r="AJ8" s="8"/>
      <c r="AK8" s="8"/>
      <c r="AL8" s="8" t="s">
        <v>173</v>
      </c>
      <c r="AM8" s="8" t="s">
        <v>173</v>
      </c>
      <c r="AN8" s="8" t="s">
        <v>173</v>
      </c>
      <c r="AO8" s="6" t="s">
        <v>241</v>
      </c>
      <c r="AP8" s="6" t="s">
        <v>242</v>
      </c>
      <c r="AQ8" s="11" t="s">
        <v>160</v>
      </c>
      <c r="AR8" s="11" t="s">
        <v>243</v>
      </c>
    </row>
    <row r="9" customFormat="false" ht="23.85" hidden="false" customHeight="false" outlineLevel="0" collapsed="false">
      <c r="A9" s="8" t="s">
        <v>244</v>
      </c>
      <c r="B9" s="11" t="s">
        <v>245</v>
      </c>
      <c r="C9" s="8" t="n">
        <v>2025</v>
      </c>
      <c r="D9" s="6" t="s">
        <v>246</v>
      </c>
      <c r="E9" s="11" t="s">
        <v>247</v>
      </c>
      <c r="F9" s="11" t="s">
        <v>165</v>
      </c>
      <c r="G9" s="12" t="s">
        <v>248</v>
      </c>
      <c r="H9" s="13" t="s">
        <v>19</v>
      </c>
      <c r="I9" s="8" t="s">
        <v>68</v>
      </c>
      <c r="J9" s="6" t="s">
        <v>249</v>
      </c>
      <c r="K9" s="11" t="s">
        <v>19</v>
      </c>
      <c r="L9" s="11" t="s">
        <v>250</v>
      </c>
      <c r="M9" s="11" t="s">
        <v>251</v>
      </c>
      <c r="N9" s="11" t="s">
        <v>170</v>
      </c>
      <c r="O9" s="11" t="s">
        <v>171</v>
      </c>
      <c r="P9" s="8"/>
      <c r="Q9" s="8"/>
      <c r="R9" s="8"/>
      <c r="S9" s="8"/>
      <c r="T9" s="8" t="s">
        <v>172</v>
      </c>
      <c r="U9" s="8"/>
      <c r="V9" s="8"/>
      <c r="W9" s="8" t="str">
        <f aca="false">IF(AND(P9="X",OR(R9="X",S9="X",T9="X")),"Sí","No")</f>
        <v>No</v>
      </c>
      <c r="X9" s="8"/>
      <c r="Y9" s="8"/>
      <c r="Z9" s="8"/>
      <c r="AA9" s="8"/>
      <c r="AB9" s="8"/>
      <c r="AC9" s="8"/>
      <c r="AD9" s="8"/>
      <c r="AE9" s="8"/>
      <c r="AF9" s="8"/>
      <c r="AG9" s="8"/>
      <c r="AH9" s="8"/>
      <c r="AI9" s="8"/>
      <c r="AJ9" s="8"/>
      <c r="AK9" s="8"/>
      <c r="AL9" s="8" t="s">
        <v>173</v>
      </c>
      <c r="AM9" s="8" t="s">
        <v>173</v>
      </c>
      <c r="AN9" s="8" t="s">
        <v>173</v>
      </c>
      <c r="AO9" s="6" t="s">
        <v>252</v>
      </c>
      <c r="AP9" s="6" t="s">
        <v>242</v>
      </c>
      <c r="AQ9" s="11" t="s">
        <v>160</v>
      </c>
      <c r="AR9" s="11" t="s">
        <v>253</v>
      </c>
    </row>
    <row r="10" customFormat="false" ht="23.85" hidden="false" customHeight="false" outlineLevel="0" collapsed="false">
      <c r="A10" s="8" t="s">
        <v>254</v>
      </c>
      <c r="B10" s="11" t="s">
        <v>255</v>
      </c>
      <c r="C10" s="8" t="n">
        <v>2025</v>
      </c>
      <c r="D10" s="6" t="s">
        <v>256</v>
      </c>
      <c r="E10" s="11" t="s">
        <v>257</v>
      </c>
      <c r="F10" s="11" t="s">
        <v>214</v>
      </c>
      <c r="G10" s="12" t="s">
        <v>258</v>
      </c>
      <c r="H10" s="13" t="s">
        <v>19</v>
      </c>
      <c r="I10" s="8" t="s">
        <v>68</v>
      </c>
      <c r="J10" s="6" t="s">
        <v>259</v>
      </c>
      <c r="K10" s="11" t="s">
        <v>19</v>
      </c>
      <c r="L10" s="11" t="s">
        <v>238</v>
      </c>
      <c r="M10" s="11" t="s">
        <v>239</v>
      </c>
      <c r="N10" s="11" t="s">
        <v>260</v>
      </c>
      <c r="O10" s="11" t="s">
        <v>194</v>
      </c>
      <c r="P10" s="8" t="s">
        <v>172</v>
      </c>
      <c r="Q10" s="8" t="s">
        <v>172</v>
      </c>
      <c r="R10" s="8" t="s">
        <v>172</v>
      </c>
      <c r="S10" s="8"/>
      <c r="T10" s="8"/>
      <c r="U10" s="8"/>
      <c r="V10" s="8"/>
      <c r="W10" s="8" t="str">
        <f aca="false">IF(AND(P10="X",OR(R10="X",S10="X",T10="X")),"Sí","No")</f>
        <v>Sí</v>
      </c>
      <c r="X10" s="8"/>
      <c r="Y10" s="8"/>
      <c r="Z10" s="8"/>
      <c r="AA10" s="8"/>
      <c r="AB10" s="8"/>
      <c r="AC10" s="8"/>
      <c r="AD10" s="8"/>
      <c r="AE10" s="8"/>
      <c r="AF10" s="8"/>
      <c r="AG10" s="8"/>
      <c r="AH10" s="8"/>
      <c r="AI10" s="8"/>
      <c r="AJ10" s="8"/>
      <c r="AK10" s="8"/>
      <c r="AL10" s="8" t="s">
        <v>173</v>
      </c>
      <c r="AM10" s="8" t="s">
        <v>173</v>
      </c>
      <c r="AN10" s="8" t="s">
        <v>173</v>
      </c>
      <c r="AO10" s="6" t="s">
        <v>261</v>
      </c>
      <c r="AP10" s="6" t="s">
        <v>242</v>
      </c>
      <c r="AQ10" s="11" t="s">
        <v>160</v>
      </c>
      <c r="AR10" s="11" t="s">
        <v>262</v>
      </c>
    </row>
    <row r="11" customFormat="false" ht="23.85" hidden="false" customHeight="false" outlineLevel="0" collapsed="false">
      <c r="A11" s="8" t="s">
        <v>263</v>
      </c>
      <c r="B11" s="11" t="s">
        <v>264</v>
      </c>
      <c r="C11" s="8" t="n">
        <v>2025</v>
      </c>
      <c r="D11" s="6" t="s">
        <v>265</v>
      </c>
      <c r="E11" s="11" t="s">
        <v>266</v>
      </c>
      <c r="F11" s="11" t="s">
        <v>165</v>
      </c>
      <c r="G11" s="12" t="s">
        <v>267</v>
      </c>
      <c r="H11" s="13" t="s">
        <v>20</v>
      </c>
      <c r="I11" s="8" t="s">
        <v>74</v>
      </c>
      <c r="J11" s="6" t="s">
        <v>268</v>
      </c>
      <c r="K11" s="11" t="s">
        <v>20</v>
      </c>
      <c r="L11" s="11" t="s">
        <v>269</v>
      </c>
      <c r="M11" s="11" t="s">
        <v>205</v>
      </c>
      <c r="N11" s="11" t="s">
        <v>170</v>
      </c>
      <c r="O11" s="11" t="s">
        <v>171</v>
      </c>
      <c r="P11" s="8"/>
      <c r="Q11" s="8"/>
      <c r="R11" s="8" t="s">
        <v>172</v>
      </c>
      <c r="S11" s="8"/>
      <c r="T11" s="8" t="s">
        <v>172</v>
      </c>
      <c r="U11" s="8"/>
      <c r="V11" s="8"/>
      <c r="W11" s="8" t="str">
        <f aca="false">IF(AND(P11="X",OR(R11="X",S11="X",T11="X")),"Sí","No")</f>
        <v>No</v>
      </c>
      <c r="X11" s="8"/>
      <c r="Y11" s="8"/>
      <c r="Z11" s="8"/>
      <c r="AA11" s="8"/>
      <c r="AB11" s="8"/>
      <c r="AC11" s="8"/>
      <c r="AD11" s="8"/>
      <c r="AE11" s="8"/>
      <c r="AF11" s="8"/>
      <c r="AG11" s="8"/>
      <c r="AH11" s="8"/>
      <c r="AI11" s="8"/>
      <c r="AJ11" s="8"/>
      <c r="AK11" s="8"/>
      <c r="AL11" s="8" t="s">
        <v>173</v>
      </c>
      <c r="AM11" s="8" t="s">
        <v>173</v>
      </c>
      <c r="AN11" s="8" t="s">
        <v>173</v>
      </c>
      <c r="AO11" s="6" t="s">
        <v>270</v>
      </c>
      <c r="AP11" s="6" t="s">
        <v>242</v>
      </c>
      <c r="AQ11" s="11" t="s">
        <v>160</v>
      </c>
      <c r="AR11" s="11" t="s">
        <v>271</v>
      </c>
    </row>
    <row r="12" customFormat="false" ht="23.85" hidden="false" customHeight="false" outlineLevel="0" collapsed="false">
      <c r="A12" s="8" t="s">
        <v>272</v>
      </c>
      <c r="B12" s="11" t="s">
        <v>273</v>
      </c>
      <c r="C12" s="8" t="n">
        <v>2025</v>
      </c>
      <c r="D12" s="6" t="s">
        <v>274</v>
      </c>
      <c r="E12" s="11" t="s">
        <v>266</v>
      </c>
      <c r="F12" s="11" t="s">
        <v>165</v>
      </c>
      <c r="G12" s="12" t="s">
        <v>275</v>
      </c>
      <c r="H12" s="13" t="s">
        <v>19</v>
      </c>
      <c r="I12" s="8" t="s">
        <v>68</v>
      </c>
      <c r="J12" s="6" t="s">
        <v>276</v>
      </c>
      <c r="K12" s="11" t="s">
        <v>19</v>
      </c>
      <c r="L12" s="11" t="s">
        <v>238</v>
      </c>
      <c r="M12" s="11" t="s">
        <v>239</v>
      </c>
      <c r="N12" s="11" t="s">
        <v>277</v>
      </c>
      <c r="O12" s="11" t="s">
        <v>194</v>
      </c>
      <c r="P12" s="8" t="s">
        <v>172</v>
      </c>
      <c r="Q12" s="8"/>
      <c r="R12" s="8"/>
      <c r="S12" s="8" t="s">
        <v>172</v>
      </c>
      <c r="T12" s="8" t="s">
        <v>172</v>
      </c>
      <c r="U12" s="8"/>
      <c r="V12" s="8"/>
      <c r="W12" s="8" t="str">
        <f aca="false">IF(AND(P12="X",OR(R12="X",S12="X",T12="X")),"Sí","No")</f>
        <v>Sí</v>
      </c>
      <c r="X12" s="8"/>
      <c r="Y12" s="8"/>
      <c r="Z12" s="8"/>
      <c r="AA12" s="8"/>
      <c r="AB12" s="8"/>
      <c r="AC12" s="8"/>
      <c r="AD12" s="8"/>
      <c r="AE12" s="8"/>
      <c r="AF12" s="8"/>
      <c r="AG12" s="8"/>
      <c r="AH12" s="8"/>
      <c r="AI12" s="8"/>
      <c r="AJ12" s="8"/>
      <c r="AK12" s="8"/>
      <c r="AL12" s="8" t="s">
        <v>173</v>
      </c>
      <c r="AM12" s="8" t="s">
        <v>173</v>
      </c>
      <c r="AN12" s="8" t="s">
        <v>173</v>
      </c>
      <c r="AO12" s="6" t="s">
        <v>278</v>
      </c>
      <c r="AP12" s="6" t="s">
        <v>279</v>
      </c>
      <c r="AQ12" s="11" t="s">
        <v>160</v>
      </c>
      <c r="AR12" s="11" t="s">
        <v>280</v>
      </c>
    </row>
    <row r="13" customFormat="false" ht="23.85" hidden="false" customHeight="false" outlineLevel="0" collapsed="false">
      <c r="A13" s="8" t="s">
        <v>281</v>
      </c>
      <c r="B13" s="11" t="s">
        <v>282</v>
      </c>
      <c r="C13" s="8" t="n">
        <v>2026</v>
      </c>
      <c r="D13" s="6" t="s">
        <v>283</v>
      </c>
      <c r="E13" s="11" t="s">
        <v>284</v>
      </c>
      <c r="F13" s="11" t="s">
        <v>214</v>
      </c>
      <c r="G13" s="12" t="s">
        <v>285</v>
      </c>
      <c r="H13" s="13" t="s">
        <v>19</v>
      </c>
      <c r="I13" s="8" t="s">
        <v>68</v>
      </c>
      <c r="J13" s="6" t="s">
        <v>286</v>
      </c>
      <c r="K13" s="11" t="s">
        <v>19</v>
      </c>
      <c r="L13" s="11" t="s">
        <v>287</v>
      </c>
      <c r="M13" s="11" t="s">
        <v>251</v>
      </c>
      <c r="N13" s="11" t="s">
        <v>288</v>
      </c>
      <c r="O13" s="11" t="s">
        <v>288</v>
      </c>
      <c r="P13" s="8"/>
      <c r="Q13" s="8"/>
      <c r="R13" s="8" t="s">
        <v>172</v>
      </c>
      <c r="S13" s="8"/>
      <c r="T13" s="8"/>
      <c r="U13" s="8"/>
      <c r="V13" s="8"/>
      <c r="W13" s="8" t="str">
        <f aca="false">IF(AND(P13="X",OR(R13="X",S13="X",T13="X")),"Sí","No")</f>
        <v>No</v>
      </c>
      <c r="X13" s="8"/>
      <c r="Y13" s="8"/>
      <c r="Z13" s="8"/>
      <c r="AA13" s="8"/>
      <c r="AB13" s="8"/>
      <c r="AC13" s="8"/>
      <c r="AD13" s="8"/>
      <c r="AE13" s="8"/>
      <c r="AF13" s="8"/>
      <c r="AG13" s="8"/>
      <c r="AH13" s="8"/>
      <c r="AI13" s="8"/>
      <c r="AJ13" s="8"/>
      <c r="AK13" s="8"/>
      <c r="AL13" s="8" t="s">
        <v>173</v>
      </c>
      <c r="AM13" s="8" t="s">
        <v>173</v>
      </c>
      <c r="AN13" s="8" t="s">
        <v>173</v>
      </c>
      <c r="AO13" s="6" t="s">
        <v>170</v>
      </c>
      <c r="AP13" s="6" t="s">
        <v>242</v>
      </c>
      <c r="AQ13" s="11" t="s">
        <v>289</v>
      </c>
      <c r="AR13" s="11" t="s">
        <v>290</v>
      </c>
    </row>
    <row r="14" customFormat="false" ht="46.25" hidden="false" customHeight="false" outlineLevel="0" collapsed="false">
      <c r="A14" s="8" t="s">
        <v>291</v>
      </c>
      <c r="B14" s="11" t="s">
        <v>292</v>
      </c>
      <c r="C14" s="8" t="n">
        <v>2026</v>
      </c>
      <c r="D14" s="6" t="s">
        <v>293</v>
      </c>
      <c r="E14" s="11" t="s">
        <v>294</v>
      </c>
      <c r="F14" s="11" t="s">
        <v>214</v>
      </c>
      <c r="G14" s="12" t="s">
        <v>295</v>
      </c>
      <c r="H14" s="13" t="s">
        <v>20</v>
      </c>
      <c r="I14" s="8" t="s">
        <v>77</v>
      </c>
      <c r="J14" s="6" t="s">
        <v>296</v>
      </c>
      <c r="K14" s="11" t="s">
        <v>20</v>
      </c>
      <c r="L14" s="11" t="s">
        <v>297</v>
      </c>
      <c r="M14" s="11" t="s">
        <v>298</v>
      </c>
      <c r="N14" s="11" t="s">
        <v>299</v>
      </c>
      <c r="O14" s="11" t="s">
        <v>300</v>
      </c>
      <c r="P14" s="8"/>
      <c r="Q14" s="8"/>
      <c r="R14" s="8" t="s">
        <v>172</v>
      </c>
      <c r="S14" s="8" t="s">
        <v>172</v>
      </c>
      <c r="T14" s="8"/>
      <c r="U14" s="8"/>
      <c r="V14" s="8"/>
      <c r="W14" s="8" t="str">
        <f aca="false">IF(AND(P14="X",OR(R14="X",S14="X",T14="X")),"Sí","No")</f>
        <v>No</v>
      </c>
      <c r="X14" s="8" t="s">
        <v>172</v>
      </c>
      <c r="Y14" s="8"/>
      <c r="Z14" s="8"/>
      <c r="AA14" s="8"/>
      <c r="AB14" s="8" t="s">
        <v>172</v>
      </c>
      <c r="AC14" s="8"/>
      <c r="AD14" s="8"/>
      <c r="AE14" s="8"/>
      <c r="AF14" s="8"/>
      <c r="AG14" s="8"/>
      <c r="AH14" s="8"/>
      <c r="AI14" s="8"/>
      <c r="AJ14" s="8"/>
      <c r="AK14" s="8"/>
      <c r="AL14" s="8" t="s">
        <v>173</v>
      </c>
      <c r="AM14" s="8" t="s">
        <v>173</v>
      </c>
      <c r="AN14" s="8" t="s">
        <v>173</v>
      </c>
      <c r="AO14" s="6" t="s">
        <v>301</v>
      </c>
      <c r="AP14" s="6" t="s">
        <v>302</v>
      </c>
      <c r="AQ14" s="11" t="s">
        <v>160</v>
      </c>
      <c r="AR14" s="11" t="s">
        <v>303</v>
      </c>
    </row>
    <row r="15" customFormat="false" ht="35.05" hidden="false" customHeight="false" outlineLevel="0" collapsed="false">
      <c r="A15" s="8" t="s">
        <v>304</v>
      </c>
      <c r="B15" s="11" t="s">
        <v>305</v>
      </c>
      <c r="C15" s="8" t="n">
        <v>2023</v>
      </c>
      <c r="D15" s="6" t="s">
        <v>306</v>
      </c>
      <c r="E15" s="11" t="s">
        <v>307</v>
      </c>
      <c r="F15" s="11" t="s">
        <v>214</v>
      </c>
      <c r="G15" s="12" t="s">
        <v>308</v>
      </c>
      <c r="H15" s="13" t="s">
        <v>19</v>
      </c>
      <c r="I15" s="8" t="s">
        <v>68</v>
      </c>
      <c r="J15" s="6" t="s">
        <v>309</v>
      </c>
      <c r="K15" s="11" t="s">
        <v>20</v>
      </c>
      <c r="L15" s="11" t="s">
        <v>183</v>
      </c>
      <c r="M15" s="11" t="s">
        <v>184</v>
      </c>
      <c r="N15" s="11" t="s">
        <v>206</v>
      </c>
      <c r="O15" s="11" t="s">
        <v>206</v>
      </c>
      <c r="P15" s="8"/>
      <c r="Q15" s="8"/>
      <c r="R15" s="8"/>
      <c r="S15" s="8"/>
      <c r="T15" s="8"/>
      <c r="U15" s="8"/>
      <c r="V15" s="8" t="s">
        <v>172</v>
      </c>
      <c r="W15" s="8" t="str">
        <f aca="false">IF(AND(P15="X",OR(R15="X",S15="X",T15="X")),"Sí","No")</f>
        <v>No</v>
      </c>
      <c r="X15" s="8"/>
      <c r="Y15" s="8"/>
      <c r="Z15" s="8"/>
      <c r="AA15" s="8"/>
      <c r="AB15" s="8"/>
      <c r="AC15" s="8"/>
      <c r="AD15" s="8"/>
      <c r="AE15" s="8"/>
      <c r="AF15" s="8"/>
      <c r="AG15" s="8"/>
      <c r="AH15" s="8"/>
      <c r="AI15" s="8"/>
      <c r="AJ15" s="8"/>
      <c r="AK15" s="8"/>
      <c r="AL15" s="8" t="s">
        <v>173</v>
      </c>
      <c r="AM15" s="8" t="s">
        <v>310</v>
      </c>
      <c r="AN15" s="8" t="s">
        <v>173</v>
      </c>
      <c r="AO15" s="6" t="s">
        <v>311</v>
      </c>
      <c r="AP15" s="6" t="s">
        <v>312</v>
      </c>
      <c r="AQ15" s="11" t="s">
        <v>160</v>
      </c>
      <c r="AR15" s="11" t="s">
        <v>313</v>
      </c>
    </row>
    <row r="16" customFormat="false" ht="23.85" hidden="false" customHeight="false" outlineLevel="0" collapsed="false">
      <c r="A16" s="8" t="s">
        <v>314</v>
      </c>
      <c r="B16" s="11" t="s">
        <v>315</v>
      </c>
      <c r="C16" s="8" t="n">
        <v>2026</v>
      </c>
      <c r="D16" s="6" t="s">
        <v>316</v>
      </c>
      <c r="E16" s="11" t="s">
        <v>317</v>
      </c>
      <c r="F16" s="11" t="s">
        <v>165</v>
      </c>
      <c r="G16" s="12" t="s">
        <v>318</v>
      </c>
      <c r="H16" s="13" t="s">
        <v>20</v>
      </c>
      <c r="I16" s="8" t="s">
        <v>77</v>
      </c>
      <c r="J16" s="6" t="s">
        <v>319</v>
      </c>
      <c r="K16" s="11" t="s">
        <v>21</v>
      </c>
      <c r="L16" s="11" t="s">
        <v>320</v>
      </c>
      <c r="M16" s="11" t="s">
        <v>298</v>
      </c>
      <c r="N16" s="11" t="s">
        <v>170</v>
      </c>
      <c r="O16" s="11" t="s">
        <v>171</v>
      </c>
      <c r="P16" s="8" t="s">
        <v>172</v>
      </c>
      <c r="Q16" s="8"/>
      <c r="R16" s="8"/>
      <c r="S16" s="8"/>
      <c r="T16" s="8"/>
      <c r="U16" s="8"/>
      <c r="V16" s="8" t="s">
        <v>172</v>
      </c>
      <c r="W16" s="8" t="str">
        <f aca="false">IF(AND(P16="X",OR(R16="X",S16="X",T16="X")),"Sí","No")</f>
        <v>No</v>
      </c>
      <c r="X16" s="8"/>
      <c r="Y16" s="8" t="s">
        <v>172</v>
      </c>
      <c r="Z16" s="8" t="s">
        <v>172</v>
      </c>
      <c r="AA16" s="8" t="s">
        <v>172</v>
      </c>
      <c r="AB16" s="8" t="s">
        <v>172</v>
      </c>
      <c r="AC16" s="8" t="s">
        <v>172</v>
      </c>
      <c r="AD16" s="8" t="s">
        <v>172</v>
      </c>
      <c r="AE16" s="8"/>
      <c r="AF16" s="8"/>
      <c r="AG16" s="8"/>
      <c r="AH16" s="8"/>
      <c r="AI16" s="8"/>
      <c r="AJ16" s="8"/>
      <c r="AK16" s="8"/>
      <c r="AL16" s="8" t="s">
        <v>173</v>
      </c>
      <c r="AM16" s="8" t="s">
        <v>173</v>
      </c>
      <c r="AN16" s="8" t="s">
        <v>173</v>
      </c>
      <c r="AO16" s="6" t="s">
        <v>320</v>
      </c>
      <c r="AP16" s="6" t="s">
        <v>321</v>
      </c>
      <c r="AQ16" s="11" t="s">
        <v>160</v>
      </c>
      <c r="AR16" s="11" t="s">
        <v>322</v>
      </c>
    </row>
    <row r="17" customFormat="false" ht="35.05" hidden="false" customHeight="false" outlineLevel="0" collapsed="false">
      <c r="A17" s="8" t="s">
        <v>323</v>
      </c>
      <c r="B17" s="11" t="s">
        <v>324</v>
      </c>
      <c r="C17" s="8" t="n">
        <v>2026</v>
      </c>
      <c r="D17" s="6" t="s">
        <v>325</v>
      </c>
      <c r="E17" s="11" t="s">
        <v>326</v>
      </c>
      <c r="F17" s="11" t="s">
        <v>165</v>
      </c>
      <c r="G17" s="12" t="s">
        <v>327</v>
      </c>
      <c r="H17" s="13" t="s">
        <v>19</v>
      </c>
      <c r="I17" s="8" t="s">
        <v>68</v>
      </c>
      <c r="J17" s="6" t="s">
        <v>328</v>
      </c>
      <c r="K17" s="11" t="s">
        <v>19</v>
      </c>
      <c r="L17" s="11" t="s">
        <v>329</v>
      </c>
      <c r="M17" s="11" t="s">
        <v>184</v>
      </c>
      <c r="N17" s="11" t="s">
        <v>170</v>
      </c>
      <c r="O17" s="11" t="s">
        <v>171</v>
      </c>
      <c r="P17" s="8" t="s">
        <v>172</v>
      </c>
      <c r="Q17" s="8"/>
      <c r="R17" s="8" t="s">
        <v>172</v>
      </c>
      <c r="S17" s="8"/>
      <c r="T17" s="8" t="s">
        <v>172</v>
      </c>
      <c r="U17" s="8"/>
      <c r="V17" s="8"/>
      <c r="W17" s="8" t="str">
        <f aca="false">IF(AND(P17="X",OR(R17="X",S17="X",T17="X")),"Sí","No")</f>
        <v>Sí</v>
      </c>
      <c r="X17" s="8"/>
      <c r="Y17" s="8"/>
      <c r="Z17" s="8"/>
      <c r="AA17" s="8"/>
      <c r="AB17" s="8"/>
      <c r="AC17" s="8"/>
      <c r="AD17" s="8"/>
      <c r="AE17" s="8"/>
      <c r="AF17" s="8"/>
      <c r="AG17" s="8"/>
      <c r="AH17" s="8"/>
      <c r="AI17" s="8"/>
      <c r="AJ17" s="8"/>
      <c r="AK17" s="8"/>
      <c r="AL17" s="8" t="s">
        <v>173</v>
      </c>
      <c r="AM17" s="8" t="s">
        <v>173</v>
      </c>
      <c r="AN17" s="8" t="s">
        <v>173</v>
      </c>
      <c r="AO17" s="6" t="s">
        <v>170</v>
      </c>
      <c r="AP17" s="6" t="s">
        <v>330</v>
      </c>
      <c r="AQ17" s="11" t="s">
        <v>160</v>
      </c>
      <c r="AR17" s="11" t="s">
        <v>331</v>
      </c>
    </row>
    <row r="18" customFormat="false" ht="23.85" hidden="false" customHeight="false" outlineLevel="0" collapsed="false">
      <c r="A18" s="8" t="s">
        <v>332</v>
      </c>
      <c r="B18" s="11" t="s">
        <v>333</v>
      </c>
      <c r="C18" s="8" t="n">
        <v>2026</v>
      </c>
      <c r="D18" s="6" t="s">
        <v>334</v>
      </c>
      <c r="E18" s="11" t="s">
        <v>335</v>
      </c>
      <c r="F18" s="11" t="s">
        <v>165</v>
      </c>
      <c r="G18" s="12" t="s">
        <v>336</v>
      </c>
      <c r="H18" s="13" t="s">
        <v>19</v>
      </c>
      <c r="I18" s="8" t="s">
        <v>68</v>
      </c>
      <c r="J18" s="6" t="s">
        <v>337</v>
      </c>
      <c r="K18" s="11" t="s">
        <v>19</v>
      </c>
      <c r="L18" s="11" t="s">
        <v>338</v>
      </c>
      <c r="M18" s="11" t="s">
        <v>205</v>
      </c>
      <c r="N18" s="11" t="s">
        <v>206</v>
      </c>
      <c r="O18" s="11" t="s">
        <v>206</v>
      </c>
      <c r="P18" s="8"/>
      <c r="Q18" s="8"/>
      <c r="R18" s="8"/>
      <c r="S18" s="8"/>
      <c r="T18" s="8" t="s">
        <v>172</v>
      </c>
      <c r="U18" s="8" t="s">
        <v>172</v>
      </c>
      <c r="V18" s="8"/>
      <c r="W18" s="8" t="str">
        <f aca="false">IF(AND(P18="X",OR(R18="X",S18="X",T18="X")),"Sí","No")</f>
        <v>No</v>
      </c>
      <c r="X18" s="8" t="s">
        <v>172</v>
      </c>
      <c r="Y18" s="8"/>
      <c r="Z18" s="8"/>
      <c r="AA18" s="8"/>
      <c r="AB18" s="8"/>
      <c r="AC18" s="8"/>
      <c r="AD18" s="8"/>
      <c r="AE18" s="8"/>
      <c r="AF18" s="8"/>
      <c r="AG18" s="8"/>
      <c r="AH18" s="8"/>
      <c r="AI18" s="8"/>
      <c r="AJ18" s="8"/>
      <c r="AK18" s="8"/>
      <c r="AL18" s="8" t="s">
        <v>310</v>
      </c>
      <c r="AM18" s="8" t="s">
        <v>310</v>
      </c>
      <c r="AN18" s="8" t="s">
        <v>310</v>
      </c>
      <c r="AO18" s="6" t="s">
        <v>339</v>
      </c>
      <c r="AP18" s="6" t="s">
        <v>340</v>
      </c>
      <c r="AQ18" s="11" t="s">
        <v>341</v>
      </c>
      <c r="AR18" s="11" t="s">
        <v>342</v>
      </c>
    </row>
    <row r="19" customFormat="false" ht="23.85" hidden="false" customHeight="false" outlineLevel="0" collapsed="false">
      <c r="A19" s="8" t="s">
        <v>343</v>
      </c>
      <c r="B19" s="11" t="s">
        <v>344</v>
      </c>
      <c r="C19" s="8" t="n">
        <v>2025</v>
      </c>
      <c r="D19" s="6" t="s">
        <v>345</v>
      </c>
      <c r="E19" s="11" t="s">
        <v>346</v>
      </c>
      <c r="F19" s="11" t="s">
        <v>214</v>
      </c>
      <c r="G19" s="12" t="s">
        <v>347</v>
      </c>
      <c r="H19" s="13" t="s">
        <v>19</v>
      </c>
      <c r="I19" s="8" t="s">
        <v>68</v>
      </c>
      <c r="J19" s="6" t="s">
        <v>348</v>
      </c>
      <c r="K19" s="11" t="s">
        <v>19</v>
      </c>
      <c r="L19" s="11" t="s">
        <v>217</v>
      </c>
      <c r="M19" s="11" t="s">
        <v>218</v>
      </c>
      <c r="N19" s="11" t="s">
        <v>349</v>
      </c>
      <c r="O19" s="11" t="s">
        <v>194</v>
      </c>
      <c r="P19" s="8" t="s">
        <v>172</v>
      </c>
      <c r="Q19" s="8"/>
      <c r="R19" s="8" t="s">
        <v>172</v>
      </c>
      <c r="S19" s="8"/>
      <c r="T19" s="8"/>
      <c r="U19" s="8"/>
      <c r="V19" s="8"/>
      <c r="W19" s="8" t="str">
        <f aca="false">IF(AND(P19="X",OR(R19="X",S19="X",T19="X")),"Sí","No")</f>
        <v>Sí</v>
      </c>
      <c r="X19" s="8"/>
      <c r="Y19" s="8"/>
      <c r="Z19" s="8"/>
      <c r="AA19" s="8"/>
      <c r="AB19" s="8"/>
      <c r="AC19" s="8"/>
      <c r="AD19" s="8"/>
      <c r="AE19" s="8"/>
      <c r="AF19" s="8"/>
      <c r="AG19" s="8"/>
      <c r="AH19" s="8"/>
      <c r="AI19" s="8"/>
      <c r="AJ19" s="8"/>
      <c r="AK19" s="8"/>
      <c r="AL19" s="8" t="s">
        <v>173</v>
      </c>
      <c r="AM19" s="8" t="s">
        <v>173</v>
      </c>
      <c r="AN19" s="8" t="s">
        <v>173</v>
      </c>
      <c r="AO19" s="6" t="s">
        <v>350</v>
      </c>
      <c r="AP19" s="6" t="s">
        <v>351</v>
      </c>
      <c r="AQ19" s="11" t="s">
        <v>160</v>
      </c>
      <c r="AR19" s="11" t="s">
        <v>352</v>
      </c>
    </row>
    <row r="20" customFormat="false" ht="23.85" hidden="false" customHeight="false" outlineLevel="0" collapsed="false">
      <c r="A20" s="8" t="s">
        <v>353</v>
      </c>
      <c r="B20" s="11" t="s">
        <v>354</v>
      </c>
      <c r="C20" s="8" t="n">
        <v>2025</v>
      </c>
      <c r="D20" s="6" t="s">
        <v>355</v>
      </c>
      <c r="E20" s="11" t="s">
        <v>356</v>
      </c>
      <c r="F20" s="11" t="s">
        <v>214</v>
      </c>
      <c r="G20" s="12" t="s">
        <v>357</v>
      </c>
      <c r="H20" s="13" t="s">
        <v>20</v>
      </c>
      <c r="I20" s="8" t="s">
        <v>71</v>
      </c>
      <c r="J20" s="6" t="s">
        <v>358</v>
      </c>
      <c r="K20" s="11" t="s">
        <v>20</v>
      </c>
      <c r="L20" s="11" t="s">
        <v>217</v>
      </c>
      <c r="M20" s="11" t="s">
        <v>218</v>
      </c>
      <c r="N20" s="11" t="s">
        <v>206</v>
      </c>
      <c r="O20" s="11" t="s">
        <v>206</v>
      </c>
      <c r="P20" s="8"/>
      <c r="Q20" s="8"/>
      <c r="R20" s="8"/>
      <c r="S20" s="8" t="s">
        <v>172</v>
      </c>
      <c r="T20" s="8" t="s">
        <v>172</v>
      </c>
      <c r="U20" s="8"/>
      <c r="V20" s="8"/>
      <c r="W20" s="8" t="str">
        <f aca="false">IF(AND(P20="X",OR(R20="X",S20="X",T20="X")),"Sí","No")</f>
        <v>No</v>
      </c>
      <c r="X20" s="8"/>
      <c r="Y20" s="8"/>
      <c r="Z20" s="8"/>
      <c r="AA20" s="8"/>
      <c r="AB20" s="8"/>
      <c r="AC20" s="8"/>
      <c r="AD20" s="8"/>
      <c r="AE20" s="8"/>
      <c r="AF20" s="8"/>
      <c r="AG20" s="8"/>
      <c r="AH20" s="8"/>
      <c r="AI20" s="8"/>
      <c r="AJ20" s="8"/>
      <c r="AK20" s="8"/>
      <c r="AL20" s="8" t="s">
        <v>173</v>
      </c>
      <c r="AM20" s="8" t="s">
        <v>310</v>
      </c>
      <c r="AN20" s="8" t="s">
        <v>173</v>
      </c>
      <c r="AO20" s="6" t="s">
        <v>359</v>
      </c>
      <c r="AP20" s="6" t="s">
        <v>360</v>
      </c>
      <c r="AQ20" s="11" t="s">
        <v>160</v>
      </c>
      <c r="AR20" s="11" t="s">
        <v>361</v>
      </c>
    </row>
    <row r="21" customFormat="false" ht="23.85" hidden="false" customHeight="false" outlineLevel="0" collapsed="false">
      <c r="A21" s="8" t="s">
        <v>362</v>
      </c>
      <c r="B21" s="11" t="s">
        <v>363</v>
      </c>
      <c r="C21" s="8" t="n">
        <v>2025</v>
      </c>
      <c r="D21" s="6" t="s">
        <v>364</v>
      </c>
      <c r="E21" s="11" t="s">
        <v>365</v>
      </c>
      <c r="F21" s="11" t="s">
        <v>165</v>
      </c>
      <c r="G21" s="12" t="s">
        <v>366</v>
      </c>
      <c r="H21" s="13" t="s">
        <v>21</v>
      </c>
      <c r="I21" s="8" t="s">
        <v>89</v>
      </c>
      <c r="J21" s="6" t="s">
        <v>367</v>
      </c>
      <c r="K21" s="11" t="s">
        <v>21</v>
      </c>
      <c r="L21" s="11" t="s">
        <v>368</v>
      </c>
      <c r="M21" s="11" t="s">
        <v>169</v>
      </c>
      <c r="N21" s="11" t="s">
        <v>170</v>
      </c>
      <c r="O21" s="11" t="s">
        <v>171</v>
      </c>
      <c r="P21" s="8" t="s">
        <v>172</v>
      </c>
      <c r="Q21" s="8"/>
      <c r="R21" s="8" t="s">
        <v>172</v>
      </c>
      <c r="S21" s="8" t="s">
        <v>172</v>
      </c>
      <c r="T21" s="8"/>
      <c r="U21" s="8"/>
      <c r="V21" s="8"/>
      <c r="W21" s="8" t="str">
        <f aca="false">IF(AND(P21="X",OR(R21="X",S21="X",T21="X")),"Sí","No")</f>
        <v>Sí</v>
      </c>
      <c r="X21" s="8"/>
      <c r="Y21" s="8"/>
      <c r="Z21" s="8"/>
      <c r="AA21" s="8"/>
      <c r="AB21" s="8"/>
      <c r="AC21" s="8"/>
      <c r="AD21" s="8"/>
      <c r="AE21" s="8"/>
      <c r="AF21" s="8"/>
      <c r="AG21" s="8"/>
      <c r="AH21" s="8"/>
      <c r="AI21" s="8"/>
      <c r="AJ21" s="8"/>
      <c r="AK21" s="8"/>
      <c r="AL21" s="8" t="s">
        <v>173</v>
      </c>
      <c r="AM21" s="8" t="s">
        <v>173</v>
      </c>
      <c r="AN21" s="8" t="s">
        <v>173</v>
      </c>
      <c r="AO21" s="6" t="s">
        <v>369</v>
      </c>
      <c r="AP21" s="6" t="s">
        <v>370</v>
      </c>
      <c r="AQ21" s="11" t="s">
        <v>160</v>
      </c>
      <c r="AR21" s="11" t="s">
        <v>371</v>
      </c>
    </row>
    <row r="22" customFormat="false" ht="23.85" hidden="false" customHeight="false" outlineLevel="0" collapsed="false">
      <c r="A22" s="8" t="s">
        <v>372</v>
      </c>
      <c r="B22" s="11" t="s">
        <v>373</v>
      </c>
      <c r="C22" s="8" t="n">
        <v>2026</v>
      </c>
      <c r="D22" s="6" t="s">
        <v>374</v>
      </c>
      <c r="E22" s="11" t="s">
        <v>375</v>
      </c>
      <c r="F22" s="11" t="s">
        <v>165</v>
      </c>
      <c r="G22" s="12" t="s">
        <v>376</v>
      </c>
      <c r="H22" s="13" t="s">
        <v>20</v>
      </c>
      <c r="I22" s="8" t="s">
        <v>77</v>
      </c>
      <c r="J22" s="6" t="s">
        <v>377</v>
      </c>
      <c r="K22" s="11" t="s">
        <v>21</v>
      </c>
      <c r="L22" s="11" t="s">
        <v>378</v>
      </c>
      <c r="M22" s="11" t="s">
        <v>298</v>
      </c>
      <c r="N22" s="11" t="s">
        <v>170</v>
      </c>
      <c r="O22" s="11" t="s">
        <v>171</v>
      </c>
      <c r="P22" s="8"/>
      <c r="Q22" s="8"/>
      <c r="R22" s="8" t="s">
        <v>172</v>
      </c>
      <c r="S22" s="8"/>
      <c r="T22" s="8"/>
      <c r="U22" s="8"/>
      <c r="V22" s="8" t="s">
        <v>172</v>
      </c>
      <c r="W22" s="8" t="str">
        <f aca="false">IF(AND(P22="X",OR(R22="X",S22="X",T22="X")),"Sí","No")</f>
        <v>No</v>
      </c>
      <c r="X22" s="8"/>
      <c r="Y22" s="8"/>
      <c r="Z22" s="8"/>
      <c r="AA22" s="8"/>
      <c r="AB22" s="8"/>
      <c r="AC22" s="8"/>
      <c r="AD22" s="8"/>
      <c r="AE22" s="8"/>
      <c r="AF22" s="8"/>
      <c r="AG22" s="8"/>
      <c r="AH22" s="8"/>
      <c r="AI22" s="8"/>
      <c r="AJ22" s="8"/>
      <c r="AK22" s="8"/>
      <c r="AL22" s="8" t="s">
        <v>173</v>
      </c>
      <c r="AM22" s="8" t="s">
        <v>173</v>
      </c>
      <c r="AN22" s="8" t="s">
        <v>173</v>
      </c>
      <c r="AO22" s="6" t="s">
        <v>379</v>
      </c>
      <c r="AP22" s="6" t="s">
        <v>242</v>
      </c>
      <c r="AQ22" s="11" t="s">
        <v>160</v>
      </c>
      <c r="AR22" s="11" t="s">
        <v>380</v>
      </c>
    </row>
    <row r="23" customFormat="false" ht="23.85" hidden="false" customHeight="false" outlineLevel="0" collapsed="false">
      <c r="A23" s="8" t="s">
        <v>381</v>
      </c>
      <c r="B23" s="11" t="s">
        <v>382</v>
      </c>
      <c r="C23" s="8" t="n">
        <v>2025</v>
      </c>
      <c r="D23" s="6" t="s">
        <v>383</v>
      </c>
      <c r="E23" s="11" t="s">
        <v>384</v>
      </c>
      <c r="F23" s="11" t="s">
        <v>214</v>
      </c>
      <c r="G23" s="12" t="s">
        <v>385</v>
      </c>
      <c r="H23" s="13" t="s">
        <v>19</v>
      </c>
      <c r="I23" s="8" t="s">
        <v>68</v>
      </c>
      <c r="J23" s="6" t="s">
        <v>386</v>
      </c>
      <c r="K23" s="11" t="s">
        <v>19</v>
      </c>
      <c r="L23" s="11" t="s">
        <v>387</v>
      </c>
      <c r="M23" s="11" t="s">
        <v>388</v>
      </c>
      <c r="N23" s="11" t="s">
        <v>206</v>
      </c>
      <c r="O23" s="11" t="s">
        <v>206</v>
      </c>
      <c r="P23" s="8"/>
      <c r="Q23" s="8"/>
      <c r="R23" s="8" t="s">
        <v>172</v>
      </c>
      <c r="S23" s="8"/>
      <c r="T23" s="8"/>
      <c r="U23" s="8"/>
      <c r="V23" s="8" t="s">
        <v>172</v>
      </c>
      <c r="W23" s="8" t="str">
        <f aca="false">IF(AND(P23="X",OR(R23="X",S23="X",T23="X")),"Sí","No")</f>
        <v>No</v>
      </c>
      <c r="X23" s="8"/>
      <c r="Y23" s="8"/>
      <c r="Z23" s="8"/>
      <c r="AA23" s="8"/>
      <c r="AB23" s="8"/>
      <c r="AC23" s="8"/>
      <c r="AD23" s="8"/>
      <c r="AE23" s="8"/>
      <c r="AF23" s="8"/>
      <c r="AG23" s="8"/>
      <c r="AH23" s="8"/>
      <c r="AI23" s="8"/>
      <c r="AJ23" s="8"/>
      <c r="AK23" s="8"/>
      <c r="AL23" s="8" t="s">
        <v>310</v>
      </c>
      <c r="AM23" s="8" t="s">
        <v>310</v>
      </c>
      <c r="AN23" s="8" t="s">
        <v>173</v>
      </c>
      <c r="AO23" s="6" t="s">
        <v>389</v>
      </c>
      <c r="AP23" s="6" t="s">
        <v>390</v>
      </c>
      <c r="AQ23" s="11" t="s">
        <v>341</v>
      </c>
      <c r="AR23" s="11" t="s">
        <v>391</v>
      </c>
    </row>
    <row r="24" customFormat="false" ht="35.05" hidden="false" customHeight="false" outlineLevel="0" collapsed="false">
      <c r="A24" s="8" t="s">
        <v>392</v>
      </c>
      <c r="B24" s="11" t="s">
        <v>393</v>
      </c>
      <c r="C24" s="8" t="n">
        <v>2026</v>
      </c>
      <c r="D24" s="6" t="s">
        <v>394</v>
      </c>
      <c r="E24" s="11" t="s">
        <v>395</v>
      </c>
      <c r="F24" s="11" t="s">
        <v>214</v>
      </c>
      <c r="G24" s="12" t="s">
        <v>396</v>
      </c>
      <c r="H24" s="13" t="s">
        <v>20</v>
      </c>
      <c r="I24" s="8" t="s">
        <v>74</v>
      </c>
      <c r="J24" s="6" t="s">
        <v>397</v>
      </c>
      <c r="K24" s="11" t="s">
        <v>20</v>
      </c>
      <c r="L24" s="11" t="s">
        <v>398</v>
      </c>
      <c r="M24" s="11" t="s">
        <v>388</v>
      </c>
      <c r="N24" s="11" t="s">
        <v>170</v>
      </c>
      <c r="O24" s="11" t="s">
        <v>171</v>
      </c>
      <c r="P24" s="8"/>
      <c r="Q24" s="8"/>
      <c r="R24" s="8" t="s">
        <v>172</v>
      </c>
      <c r="S24" s="8" t="s">
        <v>172</v>
      </c>
      <c r="T24" s="8"/>
      <c r="U24" s="8"/>
      <c r="V24" s="8" t="s">
        <v>172</v>
      </c>
      <c r="W24" s="8" t="str">
        <f aca="false">IF(AND(P24="X",OR(R24="X",S24="X",T24="X")),"Sí","No")</f>
        <v>No</v>
      </c>
      <c r="X24" s="8"/>
      <c r="Y24" s="8"/>
      <c r="Z24" s="8"/>
      <c r="AA24" s="8"/>
      <c r="AB24" s="8"/>
      <c r="AC24" s="8"/>
      <c r="AD24" s="8"/>
      <c r="AE24" s="8"/>
      <c r="AF24" s="8"/>
      <c r="AG24" s="8"/>
      <c r="AH24" s="8"/>
      <c r="AI24" s="8"/>
      <c r="AJ24" s="8"/>
      <c r="AK24" s="8"/>
      <c r="AL24" s="8" t="s">
        <v>173</v>
      </c>
      <c r="AM24" s="8" t="s">
        <v>173</v>
      </c>
      <c r="AN24" s="8" t="s">
        <v>173</v>
      </c>
      <c r="AO24" s="6" t="s">
        <v>399</v>
      </c>
      <c r="AP24" s="6" t="s">
        <v>400</v>
      </c>
      <c r="AQ24" s="11" t="s">
        <v>160</v>
      </c>
      <c r="AR24" s="11" t="s">
        <v>401</v>
      </c>
    </row>
    <row r="25" customFormat="false" ht="23.85" hidden="false" customHeight="false" outlineLevel="0" collapsed="false">
      <c r="A25" s="8" t="s">
        <v>402</v>
      </c>
      <c r="B25" s="11" t="s">
        <v>403</v>
      </c>
      <c r="C25" s="8" t="n">
        <v>2026</v>
      </c>
      <c r="D25" s="6" t="s">
        <v>404</v>
      </c>
      <c r="E25" s="11" t="s">
        <v>405</v>
      </c>
      <c r="F25" s="11" t="s">
        <v>406</v>
      </c>
      <c r="G25" s="12" t="s">
        <v>407</v>
      </c>
      <c r="H25" s="13" t="s">
        <v>20</v>
      </c>
      <c r="I25" s="8" t="s">
        <v>83</v>
      </c>
      <c r="J25" s="6" t="s">
        <v>408</v>
      </c>
      <c r="K25" s="11" t="s">
        <v>20</v>
      </c>
      <c r="L25" s="11" t="s">
        <v>409</v>
      </c>
      <c r="M25" s="11" t="s">
        <v>205</v>
      </c>
      <c r="N25" s="11" t="s">
        <v>229</v>
      </c>
      <c r="O25" s="11" t="s">
        <v>171</v>
      </c>
      <c r="P25" s="8" t="s">
        <v>172</v>
      </c>
      <c r="Q25" s="8"/>
      <c r="R25" s="8" t="s">
        <v>172</v>
      </c>
      <c r="S25" s="8"/>
      <c r="T25" s="8"/>
      <c r="U25" s="8"/>
      <c r="V25" s="8"/>
      <c r="W25" s="8" t="str">
        <f aca="false">IF(AND(P25="X",OR(R25="X",S25="X",T25="X")),"Sí","No")</f>
        <v>Sí</v>
      </c>
      <c r="X25" s="8"/>
      <c r="Y25" s="8"/>
      <c r="Z25" s="8"/>
      <c r="AA25" s="8"/>
      <c r="AB25" s="8"/>
      <c r="AC25" s="8"/>
      <c r="AD25" s="8"/>
      <c r="AE25" s="8"/>
      <c r="AF25" s="8"/>
      <c r="AG25" s="8"/>
      <c r="AH25" s="8"/>
      <c r="AI25" s="8"/>
      <c r="AJ25" s="8"/>
      <c r="AK25" s="8"/>
      <c r="AL25" s="8" t="s">
        <v>310</v>
      </c>
      <c r="AM25" s="8" t="s">
        <v>173</v>
      </c>
      <c r="AN25" s="8" t="s">
        <v>173</v>
      </c>
      <c r="AO25" s="6" t="s">
        <v>230</v>
      </c>
      <c r="AP25" s="6" t="s">
        <v>230</v>
      </c>
      <c r="AQ25" s="11" t="s">
        <v>160</v>
      </c>
      <c r="AR25" s="11" t="s">
        <v>410</v>
      </c>
    </row>
    <row r="26" customFormat="false" ht="23.85" hidden="false" customHeight="false" outlineLevel="0" collapsed="false">
      <c r="A26" s="8" t="s">
        <v>411</v>
      </c>
      <c r="B26" s="11" t="s">
        <v>412</v>
      </c>
      <c r="C26" s="8" t="n">
        <v>2025</v>
      </c>
      <c r="D26" s="6" t="s">
        <v>413</v>
      </c>
      <c r="E26" s="11" t="s">
        <v>414</v>
      </c>
      <c r="F26" s="11" t="s">
        <v>165</v>
      </c>
      <c r="G26" s="12" t="s">
        <v>415</v>
      </c>
      <c r="H26" s="13" t="s">
        <v>21</v>
      </c>
      <c r="I26" s="8" t="s">
        <v>89</v>
      </c>
      <c r="J26" s="6" t="s">
        <v>416</v>
      </c>
      <c r="K26" s="11" t="s">
        <v>21</v>
      </c>
      <c r="L26" s="11" t="s">
        <v>417</v>
      </c>
      <c r="M26" s="11" t="s">
        <v>184</v>
      </c>
      <c r="N26" s="11" t="s">
        <v>206</v>
      </c>
      <c r="O26" s="11" t="s">
        <v>206</v>
      </c>
      <c r="P26" s="8"/>
      <c r="Q26" s="8"/>
      <c r="R26" s="8"/>
      <c r="S26" s="8"/>
      <c r="T26" s="8" t="s">
        <v>172</v>
      </c>
      <c r="U26" s="8"/>
      <c r="V26" s="8"/>
      <c r="W26" s="8" t="str">
        <f aca="false">IF(AND(P26="X",OR(R26="X",S26="X",T26="X")),"Sí","No")</f>
        <v>No</v>
      </c>
      <c r="X26" s="8"/>
      <c r="Y26" s="8"/>
      <c r="Z26" s="8"/>
      <c r="AA26" s="8"/>
      <c r="AB26" s="8"/>
      <c r="AC26" s="8"/>
      <c r="AD26" s="8"/>
      <c r="AE26" s="8"/>
      <c r="AF26" s="8"/>
      <c r="AG26" s="8"/>
      <c r="AH26" s="8"/>
      <c r="AI26" s="8"/>
      <c r="AJ26" s="8"/>
      <c r="AK26" s="8"/>
      <c r="AL26" s="8" t="s">
        <v>173</v>
      </c>
      <c r="AM26" s="8" t="s">
        <v>173</v>
      </c>
      <c r="AN26" s="8" t="s">
        <v>173</v>
      </c>
      <c r="AO26" s="6" t="s">
        <v>418</v>
      </c>
      <c r="AP26" s="6" t="s">
        <v>419</v>
      </c>
      <c r="AQ26" s="11" t="s">
        <v>160</v>
      </c>
      <c r="AR26" s="11" t="s">
        <v>420</v>
      </c>
    </row>
    <row r="27" customFormat="false" ht="35.05" hidden="false" customHeight="false" outlineLevel="0" collapsed="false">
      <c r="A27" s="8" t="s">
        <v>421</v>
      </c>
      <c r="B27" s="11" t="s">
        <v>422</v>
      </c>
      <c r="C27" s="8" t="n">
        <v>2026</v>
      </c>
      <c r="D27" s="6" t="s">
        <v>423</v>
      </c>
      <c r="E27" s="11" t="s">
        <v>424</v>
      </c>
      <c r="F27" s="11" t="s">
        <v>214</v>
      </c>
      <c r="G27" s="12" t="s">
        <v>425</v>
      </c>
      <c r="H27" s="13" t="s">
        <v>19</v>
      </c>
      <c r="I27" s="8" t="s">
        <v>68</v>
      </c>
      <c r="J27" s="6" t="s">
        <v>426</v>
      </c>
      <c r="K27" s="11" t="s">
        <v>19</v>
      </c>
      <c r="L27" s="11" t="s">
        <v>427</v>
      </c>
      <c r="M27" s="11" t="s">
        <v>388</v>
      </c>
      <c r="N27" s="11" t="s">
        <v>428</v>
      </c>
      <c r="O27" s="11" t="s">
        <v>194</v>
      </c>
      <c r="P27" s="8" t="s">
        <v>172</v>
      </c>
      <c r="Q27" s="8"/>
      <c r="R27" s="8"/>
      <c r="S27" s="8" t="s">
        <v>172</v>
      </c>
      <c r="T27" s="8"/>
      <c r="U27" s="8"/>
      <c r="V27" s="8"/>
      <c r="W27" s="8" t="str">
        <f aca="false">IF(AND(P27="X",OR(R27="X",S27="X",T27="X")),"Sí","No")</f>
        <v>Sí</v>
      </c>
      <c r="X27" s="8"/>
      <c r="Y27" s="8"/>
      <c r="Z27" s="8"/>
      <c r="AA27" s="8"/>
      <c r="AB27" s="8"/>
      <c r="AC27" s="8"/>
      <c r="AD27" s="8"/>
      <c r="AE27" s="8"/>
      <c r="AF27" s="8"/>
      <c r="AG27" s="8"/>
      <c r="AH27" s="8"/>
      <c r="AI27" s="8"/>
      <c r="AJ27" s="8"/>
      <c r="AK27" s="8"/>
      <c r="AL27" s="8" t="s">
        <v>173</v>
      </c>
      <c r="AM27" s="8" t="s">
        <v>173</v>
      </c>
      <c r="AN27" s="8" t="s">
        <v>173</v>
      </c>
      <c r="AO27" s="6" t="s">
        <v>429</v>
      </c>
      <c r="AP27" s="6" t="s">
        <v>279</v>
      </c>
      <c r="AQ27" s="11" t="s">
        <v>341</v>
      </c>
      <c r="AR27" s="11" t="s">
        <v>430</v>
      </c>
    </row>
    <row r="28" customFormat="false" ht="23.85" hidden="false" customHeight="false" outlineLevel="0" collapsed="false">
      <c r="A28" s="8" t="s">
        <v>431</v>
      </c>
      <c r="B28" s="11" t="s">
        <v>432</v>
      </c>
      <c r="C28" s="8" t="n">
        <v>2026</v>
      </c>
      <c r="D28" s="6" t="s">
        <v>433</v>
      </c>
      <c r="E28" s="11" t="s">
        <v>434</v>
      </c>
      <c r="F28" s="11" t="s">
        <v>165</v>
      </c>
      <c r="G28" s="12" t="s">
        <v>435</v>
      </c>
      <c r="H28" s="13" t="s">
        <v>19</v>
      </c>
      <c r="I28" s="8" t="s">
        <v>68</v>
      </c>
      <c r="J28" s="6" t="s">
        <v>436</v>
      </c>
      <c r="K28" s="11" t="s">
        <v>19</v>
      </c>
      <c r="L28" s="11" t="s">
        <v>437</v>
      </c>
      <c r="M28" s="11" t="s">
        <v>184</v>
      </c>
      <c r="N28" s="11" t="s">
        <v>170</v>
      </c>
      <c r="O28" s="11" t="s">
        <v>171</v>
      </c>
      <c r="P28" s="8" t="s">
        <v>172</v>
      </c>
      <c r="Q28" s="8"/>
      <c r="R28" s="8" t="s">
        <v>172</v>
      </c>
      <c r="S28" s="8"/>
      <c r="T28" s="8" t="s">
        <v>172</v>
      </c>
      <c r="U28" s="8"/>
      <c r="V28" s="8"/>
      <c r="W28" s="8" t="str">
        <f aca="false">IF(AND(P28="X",OR(R28="X",S28="X",T28="X")),"Sí","No")</f>
        <v>Sí</v>
      </c>
      <c r="X28" s="8"/>
      <c r="Y28" s="8"/>
      <c r="Z28" s="8"/>
      <c r="AA28" s="8"/>
      <c r="AB28" s="8" t="s">
        <v>172</v>
      </c>
      <c r="AC28" s="8"/>
      <c r="AD28" s="8"/>
      <c r="AE28" s="8"/>
      <c r="AF28" s="8"/>
      <c r="AG28" s="8"/>
      <c r="AH28" s="8"/>
      <c r="AI28" s="8"/>
      <c r="AJ28" s="8"/>
      <c r="AK28" s="8"/>
      <c r="AL28" s="8" t="s">
        <v>173</v>
      </c>
      <c r="AM28" s="8" t="s">
        <v>173</v>
      </c>
      <c r="AN28" s="8" t="s">
        <v>173</v>
      </c>
      <c r="AO28" s="6" t="s">
        <v>438</v>
      </c>
      <c r="AP28" s="6" t="s">
        <v>439</v>
      </c>
      <c r="AQ28" s="11" t="s">
        <v>160</v>
      </c>
      <c r="AR28" s="11" t="s">
        <v>440</v>
      </c>
    </row>
    <row r="29" customFormat="false" ht="35.05" hidden="false" customHeight="false" outlineLevel="0" collapsed="false">
      <c r="A29" s="8" t="s">
        <v>441</v>
      </c>
      <c r="B29" s="11" t="s">
        <v>442</v>
      </c>
      <c r="C29" s="8" t="n">
        <v>2026</v>
      </c>
      <c r="D29" s="6" t="s">
        <v>443</v>
      </c>
      <c r="E29" s="11" t="s">
        <v>444</v>
      </c>
      <c r="F29" s="11" t="s">
        <v>165</v>
      </c>
      <c r="G29" s="12" t="s">
        <v>445</v>
      </c>
      <c r="H29" s="13" t="s">
        <v>19</v>
      </c>
      <c r="I29" s="8" t="s">
        <v>68</v>
      </c>
      <c r="J29" s="6" t="s">
        <v>446</v>
      </c>
      <c r="K29" s="11" t="s">
        <v>19</v>
      </c>
      <c r="L29" s="11" t="s">
        <v>447</v>
      </c>
      <c r="M29" s="11" t="s">
        <v>447</v>
      </c>
      <c r="N29" s="11" t="s">
        <v>448</v>
      </c>
      <c r="O29" s="11" t="s">
        <v>288</v>
      </c>
      <c r="P29" s="8" t="s">
        <v>172</v>
      </c>
      <c r="Q29" s="8"/>
      <c r="R29" s="8"/>
      <c r="S29" s="8"/>
      <c r="T29" s="8"/>
      <c r="U29" s="8"/>
      <c r="V29" s="8" t="s">
        <v>172</v>
      </c>
      <c r="W29" s="8" t="str">
        <f aca="false">IF(AND(P29="X",OR(R29="X",S29="X",T29="X")),"Sí","No")</f>
        <v>No</v>
      </c>
      <c r="X29" s="8"/>
      <c r="Y29" s="8" t="s">
        <v>172</v>
      </c>
      <c r="Z29" s="8" t="s">
        <v>172</v>
      </c>
      <c r="AA29" s="8"/>
      <c r="AB29" s="8" t="s">
        <v>172</v>
      </c>
      <c r="AC29" s="8" t="s">
        <v>172</v>
      </c>
      <c r="AD29" s="8"/>
      <c r="AE29" s="8"/>
      <c r="AF29" s="8"/>
      <c r="AG29" s="8"/>
      <c r="AH29" s="8"/>
      <c r="AI29" s="8"/>
      <c r="AJ29" s="8"/>
      <c r="AK29" s="8"/>
      <c r="AL29" s="8" t="s">
        <v>310</v>
      </c>
      <c r="AM29" s="8" t="s">
        <v>173</v>
      </c>
      <c r="AN29" s="8" t="s">
        <v>173</v>
      </c>
      <c r="AO29" s="6" t="s">
        <v>449</v>
      </c>
      <c r="AP29" s="6" t="s">
        <v>450</v>
      </c>
      <c r="AQ29" s="11" t="s">
        <v>160</v>
      </c>
      <c r="AR29" s="11" t="s">
        <v>451</v>
      </c>
    </row>
    <row r="30" customFormat="false" ht="23.85" hidden="false" customHeight="false" outlineLevel="0" collapsed="false">
      <c r="A30" s="8" t="s">
        <v>452</v>
      </c>
      <c r="B30" s="11" t="s">
        <v>453</v>
      </c>
      <c r="C30" s="8" t="n">
        <v>2025</v>
      </c>
      <c r="D30" s="6" t="s">
        <v>454</v>
      </c>
      <c r="E30" s="11" t="s">
        <v>455</v>
      </c>
      <c r="F30" s="11" t="s">
        <v>214</v>
      </c>
      <c r="G30" s="12" t="s">
        <v>456</v>
      </c>
      <c r="H30" s="13" t="s">
        <v>19</v>
      </c>
      <c r="I30" s="8" t="s">
        <v>68</v>
      </c>
      <c r="J30" s="6" t="s">
        <v>457</v>
      </c>
      <c r="K30" s="11" t="s">
        <v>19</v>
      </c>
      <c r="L30" s="11" t="s">
        <v>458</v>
      </c>
      <c r="M30" s="11" t="s">
        <v>447</v>
      </c>
      <c r="N30" s="11" t="s">
        <v>459</v>
      </c>
      <c r="O30" s="11" t="s">
        <v>194</v>
      </c>
      <c r="P30" s="8" t="s">
        <v>172</v>
      </c>
      <c r="Q30" s="8"/>
      <c r="R30" s="8" t="s">
        <v>172</v>
      </c>
      <c r="S30" s="8" t="s">
        <v>172</v>
      </c>
      <c r="T30" s="8"/>
      <c r="U30" s="8"/>
      <c r="V30" s="8"/>
      <c r="W30" s="8" t="str">
        <f aca="false">IF(AND(P30="X",OR(R30="X",S30="X",T30="X")),"Sí","No")</f>
        <v>Sí</v>
      </c>
      <c r="X30" s="8"/>
      <c r="Y30" s="8"/>
      <c r="Z30" s="8" t="s">
        <v>172</v>
      </c>
      <c r="AA30" s="8"/>
      <c r="AB30" s="8" t="s">
        <v>172</v>
      </c>
      <c r="AC30" s="8"/>
      <c r="AD30" s="8"/>
      <c r="AE30" s="8"/>
      <c r="AF30" s="8"/>
      <c r="AG30" s="8"/>
      <c r="AH30" s="8" t="s">
        <v>172</v>
      </c>
      <c r="AI30" s="8"/>
      <c r="AJ30" s="8"/>
      <c r="AK30" s="8"/>
      <c r="AL30" s="8" t="s">
        <v>173</v>
      </c>
      <c r="AM30" s="8" t="s">
        <v>173</v>
      </c>
      <c r="AN30" s="8" t="s">
        <v>173</v>
      </c>
      <c r="AO30" s="6" t="s">
        <v>460</v>
      </c>
      <c r="AP30" s="6" t="s">
        <v>461</v>
      </c>
      <c r="AQ30" s="11" t="s">
        <v>160</v>
      </c>
      <c r="AR30" s="11" t="s">
        <v>462</v>
      </c>
    </row>
    <row r="31" customFormat="false" ht="23.85" hidden="false" customHeight="false" outlineLevel="0" collapsed="false">
      <c r="A31" s="8" t="s">
        <v>463</v>
      </c>
      <c r="B31" s="11" t="s">
        <v>464</v>
      </c>
      <c r="C31" s="8" t="n">
        <v>2026</v>
      </c>
      <c r="D31" s="6" t="s">
        <v>465</v>
      </c>
      <c r="E31" s="11" t="s">
        <v>466</v>
      </c>
      <c r="F31" s="11" t="s">
        <v>214</v>
      </c>
      <c r="G31" s="12" t="s">
        <v>467</v>
      </c>
      <c r="H31" s="13" t="s">
        <v>19</v>
      </c>
      <c r="I31" s="8" t="s">
        <v>68</v>
      </c>
      <c r="J31" s="6" t="s">
        <v>468</v>
      </c>
      <c r="K31" s="11" t="s">
        <v>19</v>
      </c>
      <c r="L31" s="11" t="s">
        <v>469</v>
      </c>
      <c r="M31" s="11" t="s">
        <v>470</v>
      </c>
      <c r="N31" s="11" t="s">
        <v>206</v>
      </c>
      <c r="O31" s="11" t="s">
        <v>206</v>
      </c>
      <c r="P31" s="8" t="s">
        <v>172</v>
      </c>
      <c r="Q31" s="8" t="s">
        <v>172</v>
      </c>
      <c r="R31" s="8" t="s">
        <v>172</v>
      </c>
      <c r="S31" s="8" t="s">
        <v>172</v>
      </c>
      <c r="T31" s="8"/>
      <c r="U31" s="8"/>
      <c r="V31" s="8"/>
      <c r="W31" s="8" t="str">
        <f aca="false">IF(AND(P31="X",OR(R31="X",S31="X",T31="X")),"Sí","No")</f>
        <v>Sí</v>
      </c>
      <c r="X31" s="8"/>
      <c r="Y31" s="8"/>
      <c r="Z31" s="8"/>
      <c r="AA31" s="8"/>
      <c r="AB31" s="8"/>
      <c r="AC31" s="8"/>
      <c r="AD31" s="8"/>
      <c r="AE31" s="8"/>
      <c r="AF31" s="8"/>
      <c r="AG31" s="8"/>
      <c r="AH31" s="8"/>
      <c r="AI31" s="8"/>
      <c r="AJ31" s="8"/>
      <c r="AK31" s="8"/>
      <c r="AL31" s="8" t="s">
        <v>173</v>
      </c>
      <c r="AM31" s="8" t="s">
        <v>173</v>
      </c>
      <c r="AN31" s="8" t="s">
        <v>173</v>
      </c>
      <c r="AO31" s="6" t="s">
        <v>471</v>
      </c>
      <c r="AP31" s="6" t="s">
        <v>472</v>
      </c>
      <c r="AQ31" s="11" t="s">
        <v>160</v>
      </c>
      <c r="AR31" s="11" t="s">
        <v>473</v>
      </c>
    </row>
    <row r="32" customFormat="false" ht="23.85" hidden="false" customHeight="false" outlineLevel="0" collapsed="false">
      <c r="A32" s="8" t="s">
        <v>474</v>
      </c>
      <c r="B32" s="11" t="s">
        <v>475</v>
      </c>
      <c r="C32" s="8" t="n">
        <v>2025</v>
      </c>
      <c r="D32" s="6" t="s">
        <v>476</v>
      </c>
      <c r="E32" s="11" t="s">
        <v>477</v>
      </c>
      <c r="F32" s="11" t="s">
        <v>165</v>
      </c>
      <c r="G32" s="12" t="s">
        <v>478</v>
      </c>
      <c r="H32" s="13" t="s">
        <v>19</v>
      </c>
      <c r="I32" s="8" t="s">
        <v>68</v>
      </c>
      <c r="J32" s="6" t="s">
        <v>479</v>
      </c>
      <c r="K32" s="11" t="s">
        <v>20</v>
      </c>
      <c r="L32" s="11" t="s">
        <v>480</v>
      </c>
      <c r="M32" s="11" t="s">
        <v>184</v>
      </c>
      <c r="N32" s="11" t="s">
        <v>170</v>
      </c>
      <c r="O32" s="11" t="s">
        <v>171</v>
      </c>
      <c r="P32" s="8"/>
      <c r="Q32" s="8"/>
      <c r="R32" s="8"/>
      <c r="S32" s="8" t="s">
        <v>172</v>
      </c>
      <c r="T32" s="8" t="s">
        <v>172</v>
      </c>
      <c r="U32" s="8"/>
      <c r="V32" s="8"/>
      <c r="W32" s="8" t="str">
        <f aca="false">IF(AND(P32="X",OR(R32="X",S32="X",T32="X")),"Sí","No")</f>
        <v>No</v>
      </c>
      <c r="X32" s="8"/>
      <c r="Y32" s="8"/>
      <c r="Z32" s="8"/>
      <c r="AA32" s="8"/>
      <c r="AB32" s="8"/>
      <c r="AC32" s="8"/>
      <c r="AD32" s="8"/>
      <c r="AE32" s="8"/>
      <c r="AF32" s="8"/>
      <c r="AG32" s="8"/>
      <c r="AH32" s="8"/>
      <c r="AI32" s="8"/>
      <c r="AJ32" s="8"/>
      <c r="AK32" s="8"/>
      <c r="AL32" s="8" t="s">
        <v>173</v>
      </c>
      <c r="AM32" s="8" t="s">
        <v>173</v>
      </c>
      <c r="AN32" s="8" t="s">
        <v>173</v>
      </c>
      <c r="AO32" s="6" t="s">
        <v>481</v>
      </c>
      <c r="AP32" s="6" t="s">
        <v>482</v>
      </c>
      <c r="AQ32" s="11" t="s">
        <v>160</v>
      </c>
      <c r="AR32" s="11" t="s">
        <v>483</v>
      </c>
    </row>
    <row r="33" customFormat="false" ht="23.85" hidden="false" customHeight="false" outlineLevel="0" collapsed="false">
      <c r="A33" s="8" t="s">
        <v>484</v>
      </c>
      <c r="B33" s="11" t="s">
        <v>485</v>
      </c>
      <c r="C33" s="8" t="n">
        <v>2024</v>
      </c>
      <c r="D33" s="6" t="s">
        <v>486</v>
      </c>
      <c r="E33" s="11" t="s">
        <v>487</v>
      </c>
      <c r="F33" s="11" t="s">
        <v>165</v>
      </c>
      <c r="G33" s="12" t="s">
        <v>488</v>
      </c>
      <c r="H33" s="13" t="s">
        <v>20</v>
      </c>
      <c r="I33" s="8" t="s">
        <v>80</v>
      </c>
      <c r="J33" s="6" t="s">
        <v>489</v>
      </c>
      <c r="K33" s="11" t="s">
        <v>20</v>
      </c>
      <c r="L33" s="11" t="s">
        <v>490</v>
      </c>
      <c r="M33" s="11" t="s">
        <v>184</v>
      </c>
      <c r="N33" s="11" t="s">
        <v>206</v>
      </c>
      <c r="O33" s="11" t="s">
        <v>206</v>
      </c>
      <c r="P33" s="8"/>
      <c r="Q33" s="8"/>
      <c r="R33" s="8" t="s">
        <v>172</v>
      </c>
      <c r="S33" s="8" t="s">
        <v>172</v>
      </c>
      <c r="T33" s="8"/>
      <c r="U33" s="8"/>
      <c r="V33" s="8"/>
      <c r="W33" s="8" t="str">
        <f aca="false">IF(AND(P33="X",OR(R33="X",S33="X",T33="X")),"Sí","No")</f>
        <v>No</v>
      </c>
      <c r="X33" s="8"/>
      <c r="Y33" s="8"/>
      <c r="Z33" s="8"/>
      <c r="AA33" s="8"/>
      <c r="AB33" s="8"/>
      <c r="AC33" s="8"/>
      <c r="AD33" s="8"/>
      <c r="AE33" s="8"/>
      <c r="AF33" s="8"/>
      <c r="AG33" s="8"/>
      <c r="AH33" s="8"/>
      <c r="AI33" s="8"/>
      <c r="AJ33" s="8"/>
      <c r="AK33" s="8"/>
      <c r="AL33" s="8" t="s">
        <v>173</v>
      </c>
      <c r="AM33" s="8" t="s">
        <v>173</v>
      </c>
      <c r="AN33" s="8" t="s">
        <v>173</v>
      </c>
      <c r="AO33" s="6" t="s">
        <v>491</v>
      </c>
      <c r="AP33" s="6" t="s">
        <v>492</v>
      </c>
      <c r="AQ33" s="11" t="s">
        <v>160</v>
      </c>
      <c r="AR33" s="11" t="s">
        <v>493</v>
      </c>
    </row>
    <row r="34" customFormat="false" ht="23.85" hidden="false" customHeight="false" outlineLevel="0" collapsed="false">
      <c r="A34" s="8" t="s">
        <v>494</v>
      </c>
      <c r="B34" s="11" t="s">
        <v>495</v>
      </c>
      <c r="C34" s="8" t="n">
        <v>2026</v>
      </c>
      <c r="D34" s="6" t="s">
        <v>496</v>
      </c>
      <c r="E34" s="11" t="s">
        <v>497</v>
      </c>
      <c r="F34" s="11" t="s">
        <v>165</v>
      </c>
      <c r="G34" s="12" t="s">
        <v>498</v>
      </c>
      <c r="H34" s="13" t="s">
        <v>20</v>
      </c>
      <c r="I34" s="8" t="s">
        <v>77</v>
      </c>
      <c r="J34" s="6" t="s">
        <v>499</v>
      </c>
      <c r="K34" s="11" t="s">
        <v>20</v>
      </c>
      <c r="L34" s="11" t="s">
        <v>500</v>
      </c>
      <c r="M34" s="11" t="s">
        <v>298</v>
      </c>
      <c r="N34" s="11" t="s">
        <v>206</v>
      </c>
      <c r="O34" s="11" t="s">
        <v>206</v>
      </c>
      <c r="P34" s="8" t="s">
        <v>172</v>
      </c>
      <c r="Q34" s="8"/>
      <c r="R34" s="8"/>
      <c r="S34" s="8" t="s">
        <v>172</v>
      </c>
      <c r="T34" s="8"/>
      <c r="U34" s="8"/>
      <c r="V34" s="8" t="s">
        <v>172</v>
      </c>
      <c r="W34" s="8" t="str">
        <f aca="false">IF(AND(P34="X",OR(R34="X",S34="X",T34="X")),"Sí","No")</f>
        <v>Sí</v>
      </c>
      <c r="X34" s="8"/>
      <c r="Y34" s="8"/>
      <c r="Z34" s="8"/>
      <c r="AA34" s="8"/>
      <c r="AB34" s="8"/>
      <c r="AC34" s="8"/>
      <c r="AD34" s="8"/>
      <c r="AE34" s="8"/>
      <c r="AF34" s="8"/>
      <c r="AG34" s="8"/>
      <c r="AH34" s="8"/>
      <c r="AI34" s="8"/>
      <c r="AJ34" s="8"/>
      <c r="AK34" s="8"/>
      <c r="AL34" s="8" t="s">
        <v>173</v>
      </c>
      <c r="AM34" s="8" t="s">
        <v>173</v>
      </c>
      <c r="AN34" s="8" t="s">
        <v>173</v>
      </c>
      <c r="AO34" s="6" t="s">
        <v>501</v>
      </c>
      <c r="AP34" s="6" t="s">
        <v>502</v>
      </c>
      <c r="AQ34" s="11" t="s">
        <v>160</v>
      </c>
      <c r="AR34" s="11" t="s">
        <v>503</v>
      </c>
    </row>
    <row r="35" customFormat="false" ht="23.85" hidden="false" customHeight="false" outlineLevel="0" collapsed="false">
      <c r="A35" s="8" t="s">
        <v>504</v>
      </c>
      <c r="B35" s="11" t="s">
        <v>505</v>
      </c>
      <c r="C35" s="8" t="n">
        <v>2023</v>
      </c>
      <c r="D35" s="6" t="s">
        <v>506</v>
      </c>
      <c r="E35" s="11" t="s">
        <v>507</v>
      </c>
      <c r="F35" s="11" t="s">
        <v>165</v>
      </c>
      <c r="G35" s="11"/>
      <c r="H35" s="13" t="s">
        <v>19</v>
      </c>
      <c r="I35" s="8" t="s">
        <v>68</v>
      </c>
      <c r="J35" s="6" t="s">
        <v>508</v>
      </c>
      <c r="K35" s="11" t="s">
        <v>19</v>
      </c>
      <c r="L35" s="11" t="s">
        <v>217</v>
      </c>
      <c r="M35" s="11" t="s">
        <v>218</v>
      </c>
      <c r="N35" s="11" t="s">
        <v>459</v>
      </c>
      <c r="O35" s="11" t="s">
        <v>194</v>
      </c>
      <c r="P35" s="8" t="s">
        <v>172</v>
      </c>
      <c r="Q35" s="8"/>
      <c r="R35" s="8" t="s">
        <v>172</v>
      </c>
      <c r="S35" s="8" t="s">
        <v>172</v>
      </c>
      <c r="T35" s="8"/>
      <c r="U35" s="8"/>
      <c r="V35" s="8"/>
      <c r="W35" s="8" t="str">
        <f aca="false">IF(AND(P35="X",OR(R35="X",S35="X",T35="X")),"Sí","No")</f>
        <v>Sí</v>
      </c>
      <c r="X35" s="8"/>
      <c r="Y35" s="8"/>
      <c r="Z35" s="8"/>
      <c r="AA35" s="8"/>
      <c r="AB35" s="8"/>
      <c r="AC35" s="8"/>
      <c r="AD35" s="8"/>
      <c r="AE35" s="8"/>
      <c r="AF35" s="8"/>
      <c r="AG35" s="8"/>
      <c r="AH35" s="8"/>
      <c r="AI35" s="8"/>
      <c r="AJ35" s="8"/>
      <c r="AK35" s="8"/>
      <c r="AL35" s="8" t="s">
        <v>173</v>
      </c>
      <c r="AM35" s="8" t="s">
        <v>173</v>
      </c>
      <c r="AN35" s="8" t="s">
        <v>173</v>
      </c>
      <c r="AO35" s="6" t="s">
        <v>509</v>
      </c>
      <c r="AP35" s="6" t="s">
        <v>510</v>
      </c>
      <c r="AQ35" s="11" t="s">
        <v>160</v>
      </c>
      <c r="AR35" s="11" t="s">
        <v>511</v>
      </c>
    </row>
    <row r="36" customFormat="false" ht="23.85" hidden="false" customHeight="false" outlineLevel="0" collapsed="false">
      <c r="A36" s="8" t="s">
        <v>512</v>
      </c>
      <c r="B36" s="11" t="s">
        <v>513</v>
      </c>
      <c r="C36" s="8" t="n">
        <v>2024</v>
      </c>
      <c r="D36" s="6" t="s">
        <v>514</v>
      </c>
      <c r="E36" s="11" t="s">
        <v>189</v>
      </c>
      <c r="F36" s="11" t="s">
        <v>165</v>
      </c>
      <c r="G36" s="12" t="s">
        <v>515</v>
      </c>
      <c r="H36" s="13" t="s">
        <v>20</v>
      </c>
      <c r="I36" s="8" t="s">
        <v>80</v>
      </c>
      <c r="J36" s="6" t="s">
        <v>516</v>
      </c>
      <c r="K36" s="11" t="s">
        <v>19</v>
      </c>
      <c r="L36" s="11" t="s">
        <v>517</v>
      </c>
      <c r="M36" s="11" t="s">
        <v>218</v>
      </c>
      <c r="N36" s="11" t="s">
        <v>518</v>
      </c>
      <c r="O36" s="11" t="s">
        <v>194</v>
      </c>
      <c r="P36" s="8"/>
      <c r="Q36" s="8"/>
      <c r="R36" s="8" t="s">
        <v>172</v>
      </c>
      <c r="S36" s="8"/>
      <c r="T36" s="8"/>
      <c r="U36" s="8"/>
      <c r="V36" s="8"/>
      <c r="W36" s="8" t="str">
        <f aca="false">IF(AND(P36="X",OR(R36="X",S36="X",T36="X")),"Sí","No")</f>
        <v>No</v>
      </c>
      <c r="X36" s="8"/>
      <c r="Y36" s="8"/>
      <c r="Z36" s="8"/>
      <c r="AA36" s="8"/>
      <c r="AB36" s="8"/>
      <c r="AC36" s="8"/>
      <c r="AD36" s="8"/>
      <c r="AE36" s="8"/>
      <c r="AF36" s="8"/>
      <c r="AG36" s="8"/>
      <c r="AH36" s="8"/>
      <c r="AI36" s="8"/>
      <c r="AJ36" s="8"/>
      <c r="AK36" s="8" t="s">
        <v>172</v>
      </c>
      <c r="AL36" s="8" t="s">
        <v>173</v>
      </c>
      <c r="AM36" s="8" t="s">
        <v>173</v>
      </c>
      <c r="AN36" s="8" t="s">
        <v>173</v>
      </c>
      <c r="AO36" s="6" t="s">
        <v>519</v>
      </c>
      <c r="AP36" s="6" t="s">
        <v>520</v>
      </c>
      <c r="AQ36" s="11" t="s">
        <v>160</v>
      </c>
      <c r="AR36" s="11" t="s">
        <v>521</v>
      </c>
    </row>
    <row r="37" customFormat="false" ht="35.05" hidden="false" customHeight="false" outlineLevel="0" collapsed="false">
      <c r="A37" s="8" t="s">
        <v>522</v>
      </c>
      <c r="B37" s="11" t="s">
        <v>523</v>
      </c>
      <c r="C37" s="8" t="n">
        <v>2024</v>
      </c>
      <c r="D37" s="6" t="s">
        <v>524</v>
      </c>
      <c r="E37" s="11" t="s">
        <v>525</v>
      </c>
      <c r="F37" s="11" t="s">
        <v>165</v>
      </c>
      <c r="G37" s="11"/>
      <c r="H37" s="13" t="s">
        <v>19</v>
      </c>
      <c r="I37" s="8" t="s">
        <v>68</v>
      </c>
      <c r="J37" s="6" t="s">
        <v>526</v>
      </c>
      <c r="K37" s="11" t="s">
        <v>19</v>
      </c>
      <c r="L37" s="11" t="s">
        <v>217</v>
      </c>
      <c r="M37" s="11" t="s">
        <v>218</v>
      </c>
      <c r="N37" s="11" t="s">
        <v>527</v>
      </c>
      <c r="O37" s="11" t="s">
        <v>194</v>
      </c>
      <c r="P37" s="8" t="s">
        <v>172</v>
      </c>
      <c r="Q37" s="8"/>
      <c r="R37" s="8" t="s">
        <v>172</v>
      </c>
      <c r="S37" s="8"/>
      <c r="T37" s="8"/>
      <c r="U37" s="8"/>
      <c r="V37" s="8"/>
      <c r="W37" s="8" t="str">
        <f aca="false">IF(AND(P37="X",OR(R37="X",S37="X",T37="X")),"Sí","No")</f>
        <v>Sí</v>
      </c>
      <c r="X37" s="8"/>
      <c r="Y37" s="8"/>
      <c r="Z37" s="8"/>
      <c r="AA37" s="8"/>
      <c r="AB37" s="8"/>
      <c r="AC37" s="8"/>
      <c r="AD37" s="8"/>
      <c r="AE37" s="8"/>
      <c r="AF37" s="8"/>
      <c r="AG37" s="8"/>
      <c r="AH37" s="8"/>
      <c r="AI37" s="8"/>
      <c r="AJ37" s="8"/>
      <c r="AK37" s="8"/>
      <c r="AL37" s="8" t="s">
        <v>173</v>
      </c>
      <c r="AM37" s="8" t="s">
        <v>173</v>
      </c>
      <c r="AN37" s="8" t="s">
        <v>173</v>
      </c>
      <c r="AO37" s="6" t="s">
        <v>528</v>
      </c>
      <c r="AP37" s="6" t="s">
        <v>279</v>
      </c>
      <c r="AQ37" s="11" t="s">
        <v>160</v>
      </c>
      <c r="AR37" s="11" t="s">
        <v>529</v>
      </c>
    </row>
    <row r="38" customFormat="false" ht="23.85" hidden="false" customHeight="false" outlineLevel="0" collapsed="false">
      <c r="A38" s="8" t="s">
        <v>530</v>
      </c>
      <c r="B38" s="11" t="s">
        <v>531</v>
      </c>
      <c r="C38" s="8" t="n">
        <v>2026</v>
      </c>
      <c r="D38" s="6" t="s">
        <v>532</v>
      </c>
      <c r="E38" s="11" t="s">
        <v>533</v>
      </c>
      <c r="F38" s="11" t="s">
        <v>165</v>
      </c>
      <c r="G38" s="12" t="s">
        <v>534</v>
      </c>
      <c r="H38" s="13" t="s">
        <v>19</v>
      </c>
      <c r="I38" s="8" t="s">
        <v>68</v>
      </c>
      <c r="J38" s="6" t="s">
        <v>535</v>
      </c>
      <c r="K38" s="11" t="s">
        <v>19</v>
      </c>
      <c r="L38" s="11" t="s">
        <v>536</v>
      </c>
      <c r="M38" s="11" t="s">
        <v>388</v>
      </c>
      <c r="N38" s="11" t="s">
        <v>206</v>
      </c>
      <c r="O38" s="11" t="s">
        <v>206</v>
      </c>
      <c r="P38" s="8"/>
      <c r="Q38" s="8"/>
      <c r="R38" s="8" t="s">
        <v>172</v>
      </c>
      <c r="S38" s="8" t="s">
        <v>172</v>
      </c>
      <c r="T38" s="8" t="s">
        <v>172</v>
      </c>
      <c r="U38" s="8" t="s">
        <v>172</v>
      </c>
      <c r="V38" s="8"/>
      <c r="W38" s="8" t="str">
        <f aca="false">IF(AND(P38="X",OR(R38="X",S38="X",T38="X")),"Sí","No")</f>
        <v>No</v>
      </c>
      <c r="X38" s="8" t="s">
        <v>172</v>
      </c>
      <c r="Y38" s="8"/>
      <c r="Z38" s="8"/>
      <c r="AA38" s="8"/>
      <c r="AB38" s="8"/>
      <c r="AC38" s="8"/>
      <c r="AD38" s="8"/>
      <c r="AE38" s="8" t="s">
        <v>172</v>
      </c>
      <c r="AF38" s="8"/>
      <c r="AG38" s="8"/>
      <c r="AH38" s="8"/>
      <c r="AI38" s="8"/>
      <c r="AJ38" s="8"/>
      <c r="AK38" s="8"/>
      <c r="AL38" s="8" t="s">
        <v>173</v>
      </c>
      <c r="AM38" s="8" t="s">
        <v>310</v>
      </c>
      <c r="AN38" s="8" t="s">
        <v>173</v>
      </c>
      <c r="AO38" s="6" t="s">
        <v>537</v>
      </c>
      <c r="AP38" s="6" t="s">
        <v>538</v>
      </c>
      <c r="AQ38" s="11" t="s">
        <v>160</v>
      </c>
      <c r="AR38" s="11" t="s">
        <v>539</v>
      </c>
    </row>
    <row r="39" customFormat="false" ht="23.85" hidden="false" customHeight="false" outlineLevel="0" collapsed="false">
      <c r="A39" s="8" t="s">
        <v>540</v>
      </c>
      <c r="B39" s="11" t="s">
        <v>541</v>
      </c>
      <c r="C39" s="8" t="n">
        <v>2026</v>
      </c>
      <c r="D39" s="6" t="s">
        <v>542</v>
      </c>
      <c r="E39" s="11" t="s">
        <v>543</v>
      </c>
      <c r="F39" s="11" t="s">
        <v>165</v>
      </c>
      <c r="G39" s="12" t="s">
        <v>544</v>
      </c>
      <c r="H39" s="13" t="s">
        <v>19</v>
      </c>
      <c r="I39" s="8" t="s">
        <v>68</v>
      </c>
      <c r="J39" s="6" t="s">
        <v>545</v>
      </c>
      <c r="K39" s="11" t="s">
        <v>19</v>
      </c>
      <c r="L39" s="11" t="s">
        <v>546</v>
      </c>
      <c r="M39" s="11" t="s">
        <v>184</v>
      </c>
      <c r="N39" s="11" t="s">
        <v>170</v>
      </c>
      <c r="O39" s="11" t="s">
        <v>171</v>
      </c>
      <c r="P39" s="8"/>
      <c r="Q39" s="8"/>
      <c r="R39" s="8"/>
      <c r="S39" s="8" t="s">
        <v>172</v>
      </c>
      <c r="T39" s="8"/>
      <c r="U39" s="8"/>
      <c r="V39" s="8"/>
      <c r="W39" s="8" t="str">
        <f aca="false">IF(AND(P39="X",OR(R39="X",S39="X",T39="X")),"Sí","No")</f>
        <v>No</v>
      </c>
      <c r="X39" s="8" t="s">
        <v>172</v>
      </c>
      <c r="Y39" s="8" t="s">
        <v>172</v>
      </c>
      <c r="Z39" s="8" t="s">
        <v>172</v>
      </c>
      <c r="AA39" s="8" t="s">
        <v>172</v>
      </c>
      <c r="AB39" s="8"/>
      <c r="AC39" s="8"/>
      <c r="AD39" s="8"/>
      <c r="AE39" s="8"/>
      <c r="AF39" s="8"/>
      <c r="AG39" s="8"/>
      <c r="AH39" s="8"/>
      <c r="AI39" s="8"/>
      <c r="AJ39" s="8"/>
      <c r="AK39" s="8"/>
      <c r="AL39" s="8" t="s">
        <v>173</v>
      </c>
      <c r="AM39" s="8" t="s">
        <v>173</v>
      </c>
      <c r="AN39" s="8" t="s">
        <v>173</v>
      </c>
      <c r="AO39" s="6" t="s">
        <v>170</v>
      </c>
      <c r="AP39" s="6" t="s">
        <v>547</v>
      </c>
      <c r="AQ39" s="11" t="s">
        <v>160</v>
      </c>
      <c r="AR39" s="11" t="s">
        <v>548</v>
      </c>
    </row>
    <row r="40" customFormat="false" ht="23.85" hidden="false" customHeight="false" outlineLevel="0" collapsed="false">
      <c r="A40" s="8" t="s">
        <v>549</v>
      </c>
      <c r="B40" s="11" t="s">
        <v>550</v>
      </c>
      <c r="C40" s="8" t="n">
        <v>2026</v>
      </c>
      <c r="D40" s="6" t="s">
        <v>551</v>
      </c>
      <c r="E40" s="11" t="s">
        <v>552</v>
      </c>
      <c r="F40" s="11" t="s">
        <v>165</v>
      </c>
      <c r="G40" s="12" t="s">
        <v>553</v>
      </c>
      <c r="H40" s="13" t="s">
        <v>19</v>
      </c>
      <c r="I40" s="8" t="s">
        <v>68</v>
      </c>
      <c r="J40" s="6" t="s">
        <v>554</v>
      </c>
      <c r="K40" s="11" t="s">
        <v>20</v>
      </c>
      <c r="L40" s="11" t="s">
        <v>555</v>
      </c>
      <c r="M40" s="11" t="s">
        <v>447</v>
      </c>
      <c r="N40" s="11" t="s">
        <v>206</v>
      </c>
      <c r="O40" s="11" t="s">
        <v>206</v>
      </c>
      <c r="P40" s="8" t="s">
        <v>172</v>
      </c>
      <c r="Q40" s="8"/>
      <c r="R40" s="8" t="s">
        <v>172</v>
      </c>
      <c r="S40" s="8"/>
      <c r="T40" s="8"/>
      <c r="U40" s="8"/>
      <c r="V40" s="8"/>
      <c r="W40" s="8" t="str">
        <f aca="false">IF(AND(P40="X",OR(R40="X",S40="X",T40="X")),"Sí","No")</f>
        <v>Sí</v>
      </c>
      <c r="X40" s="8" t="s">
        <v>172</v>
      </c>
      <c r="Y40" s="8"/>
      <c r="Z40" s="8"/>
      <c r="AA40" s="8" t="s">
        <v>172</v>
      </c>
      <c r="AB40" s="8" t="s">
        <v>172</v>
      </c>
      <c r="AC40" s="8" t="s">
        <v>172</v>
      </c>
      <c r="AD40" s="8" t="s">
        <v>172</v>
      </c>
      <c r="AE40" s="8"/>
      <c r="AF40" s="8" t="s">
        <v>172</v>
      </c>
      <c r="AG40" s="8"/>
      <c r="AH40" s="8"/>
      <c r="AI40" s="8"/>
      <c r="AJ40" s="8"/>
      <c r="AK40" s="8"/>
      <c r="AL40" s="8" t="s">
        <v>173</v>
      </c>
      <c r="AM40" s="8" t="s">
        <v>173</v>
      </c>
      <c r="AN40" s="8" t="s">
        <v>173</v>
      </c>
      <c r="AO40" s="6" t="s">
        <v>556</v>
      </c>
      <c r="AP40" s="6" t="s">
        <v>557</v>
      </c>
      <c r="AQ40" s="11" t="s">
        <v>160</v>
      </c>
      <c r="AR40" s="11" t="s">
        <v>558</v>
      </c>
    </row>
    <row r="41" customFormat="false" ht="23.85" hidden="false" customHeight="false" outlineLevel="0" collapsed="false">
      <c r="A41" s="8" t="s">
        <v>559</v>
      </c>
      <c r="B41" s="11" t="s">
        <v>560</v>
      </c>
      <c r="C41" s="8" t="n">
        <v>2025</v>
      </c>
      <c r="D41" s="6" t="s">
        <v>561</v>
      </c>
      <c r="E41" s="11" t="s">
        <v>562</v>
      </c>
      <c r="F41" s="11" t="s">
        <v>165</v>
      </c>
      <c r="G41" s="12" t="s">
        <v>563</v>
      </c>
      <c r="H41" s="13" t="s">
        <v>20</v>
      </c>
      <c r="I41" s="8" t="s">
        <v>77</v>
      </c>
      <c r="J41" s="6" t="s">
        <v>564</v>
      </c>
      <c r="K41" s="11" t="s">
        <v>21</v>
      </c>
      <c r="L41" s="11" t="s">
        <v>297</v>
      </c>
      <c r="M41" s="11" t="s">
        <v>298</v>
      </c>
      <c r="N41" s="11" t="s">
        <v>206</v>
      </c>
      <c r="O41" s="11" t="s">
        <v>206</v>
      </c>
      <c r="P41" s="8"/>
      <c r="Q41" s="8"/>
      <c r="R41" s="8"/>
      <c r="S41" s="8"/>
      <c r="T41" s="8" t="s">
        <v>172</v>
      </c>
      <c r="U41" s="8"/>
      <c r="V41" s="8"/>
      <c r="W41" s="8" t="str">
        <f aca="false">IF(AND(P41="X",OR(R41="X",S41="X",T41="X")),"Sí","No")</f>
        <v>No</v>
      </c>
      <c r="X41" s="8"/>
      <c r="Y41" s="8"/>
      <c r="Z41" s="8"/>
      <c r="AA41" s="8"/>
      <c r="AB41" s="8"/>
      <c r="AC41" s="8"/>
      <c r="AD41" s="8"/>
      <c r="AE41" s="8"/>
      <c r="AF41" s="8"/>
      <c r="AG41" s="8"/>
      <c r="AH41" s="8"/>
      <c r="AI41" s="8"/>
      <c r="AJ41" s="8"/>
      <c r="AK41" s="8"/>
      <c r="AL41" s="8" t="s">
        <v>173</v>
      </c>
      <c r="AM41" s="8" t="s">
        <v>173</v>
      </c>
      <c r="AN41" s="8" t="s">
        <v>173</v>
      </c>
      <c r="AO41" s="6" t="s">
        <v>565</v>
      </c>
      <c r="AP41" s="6" t="s">
        <v>566</v>
      </c>
      <c r="AQ41" s="11" t="s">
        <v>160</v>
      </c>
      <c r="AR41" s="11" t="s">
        <v>567</v>
      </c>
    </row>
    <row r="42" customFormat="false" ht="23.85" hidden="false" customHeight="false" outlineLevel="0" collapsed="false">
      <c r="A42" s="8" t="s">
        <v>568</v>
      </c>
      <c r="B42" s="11" t="s">
        <v>569</v>
      </c>
      <c r="C42" s="8" t="n">
        <v>2025</v>
      </c>
      <c r="D42" s="6" t="s">
        <v>570</v>
      </c>
      <c r="E42" s="11" t="s">
        <v>571</v>
      </c>
      <c r="F42" s="11" t="s">
        <v>165</v>
      </c>
      <c r="G42" s="12" t="s">
        <v>572</v>
      </c>
      <c r="H42" s="13" t="s">
        <v>20</v>
      </c>
      <c r="I42" s="8" t="s">
        <v>71</v>
      </c>
      <c r="J42" s="6" t="s">
        <v>573</v>
      </c>
      <c r="K42" s="11" t="s">
        <v>19</v>
      </c>
      <c r="L42" s="11" t="s">
        <v>217</v>
      </c>
      <c r="M42" s="11" t="s">
        <v>218</v>
      </c>
      <c r="N42" s="11" t="s">
        <v>574</v>
      </c>
      <c r="O42" s="11" t="s">
        <v>300</v>
      </c>
      <c r="P42" s="8"/>
      <c r="Q42" s="8"/>
      <c r="R42" s="8"/>
      <c r="S42" s="8" t="s">
        <v>172</v>
      </c>
      <c r="T42" s="8" t="s">
        <v>172</v>
      </c>
      <c r="U42" s="8"/>
      <c r="V42" s="8"/>
      <c r="W42" s="8" t="str">
        <f aca="false">IF(AND(P42="X",OR(R42="X",S42="X",T42="X")),"Sí","No")</f>
        <v>No</v>
      </c>
      <c r="X42" s="8"/>
      <c r="Y42" s="8"/>
      <c r="Z42" s="8"/>
      <c r="AA42" s="8"/>
      <c r="AB42" s="8"/>
      <c r="AC42" s="8"/>
      <c r="AD42" s="8"/>
      <c r="AE42" s="8"/>
      <c r="AF42" s="8"/>
      <c r="AG42" s="8"/>
      <c r="AH42" s="8"/>
      <c r="AI42" s="8"/>
      <c r="AJ42" s="8"/>
      <c r="AK42" s="8"/>
      <c r="AL42" s="8" t="s">
        <v>173</v>
      </c>
      <c r="AM42" s="8" t="s">
        <v>173</v>
      </c>
      <c r="AN42" s="8" t="s">
        <v>173</v>
      </c>
      <c r="AO42" s="6" t="s">
        <v>575</v>
      </c>
      <c r="AP42" s="6" t="s">
        <v>576</v>
      </c>
      <c r="AQ42" s="11" t="s">
        <v>160</v>
      </c>
      <c r="AR42" s="11" t="s">
        <v>577</v>
      </c>
    </row>
    <row r="43" customFormat="false" ht="23.85" hidden="false" customHeight="false" outlineLevel="0" collapsed="false">
      <c r="A43" s="8" t="s">
        <v>578</v>
      </c>
      <c r="B43" s="11" t="s">
        <v>579</v>
      </c>
      <c r="C43" s="8" t="n">
        <v>2024</v>
      </c>
      <c r="D43" s="6" t="s">
        <v>580</v>
      </c>
      <c r="E43" s="11" t="s">
        <v>581</v>
      </c>
      <c r="F43" s="11" t="s">
        <v>165</v>
      </c>
      <c r="G43" s="12" t="s">
        <v>582</v>
      </c>
      <c r="H43" s="13" t="s">
        <v>20</v>
      </c>
      <c r="I43" s="8" t="s">
        <v>71</v>
      </c>
      <c r="J43" s="6" t="s">
        <v>583</v>
      </c>
      <c r="K43" s="11" t="s">
        <v>20</v>
      </c>
      <c r="L43" s="11" t="s">
        <v>584</v>
      </c>
      <c r="M43" s="11" t="s">
        <v>205</v>
      </c>
      <c r="N43" s="11" t="s">
        <v>170</v>
      </c>
      <c r="O43" s="11" t="s">
        <v>171</v>
      </c>
      <c r="P43" s="8"/>
      <c r="Q43" s="8"/>
      <c r="R43" s="8"/>
      <c r="S43" s="8"/>
      <c r="T43" s="8"/>
      <c r="U43" s="8"/>
      <c r="V43" s="8" t="s">
        <v>172</v>
      </c>
      <c r="W43" s="8" t="str">
        <f aca="false">IF(AND(P43="X",OR(R43="X",S43="X",T43="X")),"Sí","No")</f>
        <v>No</v>
      </c>
      <c r="X43" s="8"/>
      <c r="Y43" s="8"/>
      <c r="Z43" s="8"/>
      <c r="AA43" s="8"/>
      <c r="AB43" s="8"/>
      <c r="AC43" s="8"/>
      <c r="AD43" s="8"/>
      <c r="AE43" s="8"/>
      <c r="AF43" s="8"/>
      <c r="AG43" s="8"/>
      <c r="AH43" s="8"/>
      <c r="AI43" s="8"/>
      <c r="AJ43" s="8"/>
      <c r="AK43" s="8"/>
      <c r="AL43" s="8" t="s">
        <v>310</v>
      </c>
      <c r="AM43" s="8" t="s">
        <v>310</v>
      </c>
      <c r="AN43" s="8" t="s">
        <v>310</v>
      </c>
      <c r="AO43" s="6" t="s">
        <v>170</v>
      </c>
      <c r="AP43" s="6" t="s">
        <v>585</v>
      </c>
      <c r="AQ43" s="11" t="s">
        <v>160</v>
      </c>
      <c r="AR43" s="11" t="s">
        <v>586</v>
      </c>
    </row>
    <row r="44" customFormat="false" ht="23.85" hidden="false" customHeight="false" outlineLevel="0" collapsed="false">
      <c r="A44" s="8" t="s">
        <v>587</v>
      </c>
      <c r="B44" s="11" t="s">
        <v>588</v>
      </c>
      <c r="C44" s="8" t="n">
        <v>2024</v>
      </c>
      <c r="D44" s="6" t="s">
        <v>589</v>
      </c>
      <c r="E44" s="11" t="s">
        <v>590</v>
      </c>
      <c r="F44" s="11" t="s">
        <v>165</v>
      </c>
      <c r="G44" s="12" t="s">
        <v>591</v>
      </c>
      <c r="H44" s="13" t="s">
        <v>20</v>
      </c>
      <c r="I44" s="8" t="s">
        <v>77</v>
      </c>
      <c r="J44" s="6" t="s">
        <v>592</v>
      </c>
      <c r="K44" s="11" t="s">
        <v>21</v>
      </c>
      <c r="L44" s="11" t="s">
        <v>378</v>
      </c>
      <c r="M44" s="11" t="s">
        <v>298</v>
      </c>
      <c r="N44" s="11" t="s">
        <v>593</v>
      </c>
      <c r="O44" s="11" t="s">
        <v>194</v>
      </c>
      <c r="P44" s="8"/>
      <c r="Q44" s="8"/>
      <c r="R44" s="8" t="s">
        <v>172</v>
      </c>
      <c r="S44" s="8"/>
      <c r="T44" s="8"/>
      <c r="U44" s="8"/>
      <c r="V44" s="8" t="s">
        <v>172</v>
      </c>
      <c r="W44" s="8" t="str">
        <f aca="false">IF(AND(P44="X",OR(R44="X",S44="X",T44="X")),"Sí","No")</f>
        <v>No</v>
      </c>
      <c r="X44" s="8"/>
      <c r="Y44" s="8"/>
      <c r="Z44" s="8"/>
      <c r="AA44" s="8"/>
      <c r="AB44" s="8"/>
      <c r="AC44" s="8"/>
      <c r="AD44" s="8"/>
      <c r="AE44" s="8"/>
      <c r="AF44" s="8"/>
      <c r="AG44" s="8"/>
      <c r="AH44" s="8"/>
      <c r="AI44" s="8"/>
      <c r="AJ44" s="8"/>
      <c r="AK44" s="8"/>
      <c r="AL44" s="8" t="s">
        <v>173</v>
      </c>
      <c r="AM44" s="8" t="s">
        <v>173</v>
      </c>
      <c r="AN44" s="8" t="s">
        <v>173</v>
      </c>
      <c r="AO44" s="6" t="s">
        <v>594</v>
      </c>
      <c r="AP44" s="6" t="s">
        <v>595</v>
      </c>
      <c r="AQ44" s="11" t="s">
        <v>160</v>
      </c>
      <c r="AR44" s="11" t="s">
        <v>596</v>
      </c>
    </row>
    <row r="45" customFormat="false" ht="23.85" hidden="false" customHeight="false" outlineLevel="0" collapsed="false">
      <c r="A45" s="8" t="s">
        <v>597</v>
      </c>
      <c r="B45" s="11" t="s">
        <v>598</v>
      </c>
      <c r="C45" s="8" t="n">
        <v>2024</v>
      </c>
      <c r="D45" s="6" t="s">
        <v>599</v>
      </c>
      <c r="E45" s="11" t="s">
        <v>600</v>
      </c>
      <c r="F45" s="11" t="s">
        <v>165</v>
      </c>
      <c r="G45" s="12" t="s">
        <v>601</v>
      </c>
      <c r="H45" s="13" t="s">
        <v>20</v>
      </c>
      <c r="I45" s="8" t="s">
        <v>77</v>
      </c>
      <c r="J45" s="6" t="s">
        <v>602</v>
      </c>
      <c r="K45" s="11" t="s">
        <v>21</v>
      </c>
      <c r="L45" s="11" t="s">
        <v>297</v>
      </c>
      <c r="M45" s="11" t="s">
        <v>298</v>
      </c>
      <c r="N45" s="11" t="s">
        <v>206</v>
      </c>
      <c r="O45" s="11" t="s">
        <v>206</v>
      </c>
      <c r="P45" s="8"/>
      <c r="Q45" s="8"/>
      <c r="R45" s="8" t="s">
        <v>172</v>
      </c>
      <c r="S45" s="8"/>
      <c r="T45" s="8" t="s">
        <v>172</v>
      </c>
      <c r="U45" s="8"/>
      <c r="V45" s="8"/>
      <c r="W45" s="8" t="str">
        <f aca="false">IF(AND(P45="X",OR(R45="X",S45="X",T45="X")),"Sí","No")</f>
        <v>No</v>
      </c>
      <c r="X45" s="8"/>
      <c r="Y45" s="8"/>
      <c r="Z45" s="8"/>
      <c r="AA45" s="8"/>
      <c r="AB45" s="8"/>
      <c r="AC45" s="8"/>
      <c r="AD45" s="8"/>
      <c r="AE45" s="8"/>
      <c r="AF45" s="8"/>
      <c r="AG45" s="8"/>
      <c r="AH45" s="8"/>
      <c r="AI45" s="8"/>
      <c r="AJ45" s="8"/>
      <c r="AK45" s="8"/>
      <c r="AL45" s="8" t="s">
        <v>173</v>
      </c>
      <c r="AM45" s="8" t="s">
        <v>173</v>
      </c>
      <c r="AN45" s="8" t="s">
        <v>173</v>
      </c>
      <c r="AO45" s="6" t="s">
        <v>603</v>
      </c>
      <c r="AP45" s="6" t="s">
        <v>604</v>
      </c>
      <c r="AQ45" s="11" t="s">
        <v>160</v>
      </c>
      <c r="AR45" s="11" t="s">
        <v>605</v>
      </c>
    </row>
    <row r="46" customFormat="false" ht="23.85" hidden="false" customHeight="false" outlineLevel="0" collapsed="false">
      <c r="A46" s="8" t="s">
        <v>606</v>
      </c>
      <c r="B46" s="11" t="s">
        <v>607</v>
      </c>
      <c r="C46" s="8" t="n">
        <v>2026</v>
      </c>
      <c r="D46" s="6" t="s">
        <v>608</v>
      </c>
      <c r="E46" s="11" t="s">
        <v>609</v>
      </c>
      <c r="F46" s="11" t="s">
        <v>165</v>
      </c>
      <c r="G46" s="12" t="s">
        <v>610</v>
      </c>
      <c r="H46" s="13" t="s">
        <v>19</v>
      </c>
      <c r="I46" s="8" t="s">
        <v>68</v>
      </c>
      <c r="J46" s="6" t="s">
        <v>611</v>
      </c>
      <c r="K46" s="11" t="s">
        <v>19</v>
      </c>
      <c r="L46" s="11" t="s">
        <v>612</v>
      </c>
      <c r="M46" s="11" t="s">
        <v>388</v>
      </c>
      <c r="N46" s="11" t="s">
        <v>170</v>
      </c>
      <c r="O46" s="11" t="s">
        <v>171</v>
      </c>
      <c r="P46" s="8" t="s">
        <v>172</v>
      </c>
      <c r="Q46" s="8"/>
      <c r="R46" s="8"/>
      <c r="S46" s="8"/>
      <c r="T46" s="8"/>
      <c r="U46" s="8"/>
      <c r="V46" s="8" t="s">
        <v>172</v>
      </c>
      <c r="W46" s="8" t="str">
        <f aca="false">IF(AND(P46="X",OR(R46="X",S46="X",T46="X")),"Sí","No")</f>
        <v>No</v>
      </c>
      <c r="X46" s="8"/>
      <c r="Y46" s="8" t="s">
        <v>172</v>
      </c>
      <c r="Z46" s="8" t="s">
        <v>172</v>
      </c>
      <c r="AA46" s="8"/>
      <c r="AB46" s="8" t="s">
        <v>172</v>
      </c>
      <c r="AC46" s="8" t="s">
        <v>172</v>
      </c>
      <c r="AD46" s="8"/>
      <c r="AE46" s="8"/>
      <c r="AF46" s="8"/>
      <c r="AG46" s="8" t="s">
        <v>172</v>
      </c>
      <c r="AH46" s="8"/>
      <c r="AI46" s="8"/>
      <c r="AJ46" s="8"/>
      <c r="AK46" s="8"/>
      <c r="AL46" s="8" t="s">
        <v>173</v>
      </c>
      <c r="AM46" s="8" t="s">
        <v>173</v>
      </c>
      <c r="AN46" s="8" t="s">
        <v>173</v>
      </c>
      <c r="AO46" s="6" t="s">
        <v>613</v>
      </c>
      <c r="AP46" s="6" t="s">
        <v>614</v>
      </c>
      <c r="AQ46" s="11" t="s">
        <v>160</v>
      </c>
      <c r="AR46" s="11" t="s">
        <v>615</v>
      </c>
    </row>
    <row r="47" customFormat="false" ht="23.85" hidden="false" customHeight="false" outlineLevel="0" collapsed="false">
      <c r="A47" s="8" t="s">
        <v>616</v>
      </c>
      <c r="B47" s="11" t="s">
        <v>617</v>
      </c>
      <c r="C47" s="8" t="n">
        <v>2026</v>
      </c>
      <c r="D47" s="6" t="s">
        <v>618</v>
      </c>
      <c r="E47" s="11" t="s">
        <v>619</v>
      </c>
      <c r="F47" s="11" t="s">
        <v>214</v>
      </c>
      <c r="G47" s="12" t="s">
        <v>620</v>
      </c>
      <c r="H47" s="13" t="s">
        <v>19</v>
      </c>
      <c r="I47" s="8" t="s">
        <v>68</v>
      </c>
      <c r="J47" s="6" t="s">
        <v>621</v>
      </c>
      <c r="K47" s="11" t="s">
        <v>20</v>
      </c>
      <c r="L47" s="11" t="s">
        <v>622</v>
      </c>
      <c r="M47" s="11" t="s">
        <v>447</v>
      </c>
      <c r="N47" s="11" t="s">
        <v>623</v>
      </c>
      <c r="O47" s="11" t="s">
        <v>206</v>
      </c>
      <c r="P47" s="8" t="s">
        <v>172</v>
      </c>
      <c r="Q47" s="8"/>
      <c r="R47" s="8" t="s">
        <v>172</v>
      </c>
      <c r="S47" s="8" t="s">
        <v>172</v>
      </c>
      <c r="T47" s="8"/>
      <c r="U47" s="8"/>
      <c r="V47" s="8" t="s">
        <v>172</v>
      </c>
      <c r="W47" s="8" t="str">
        <f aca="false">IF(AND(P47="X",OR(R47="X",S47="X",T47="X")),"Sí","No")</f>
        <v>Sí</v>
      </c>
      <c r="X47" s="8"/>
      <c r="Y47" s="8"/>
      <c r="Z47" s="8"/>
      <c r="AA47" s="8"/>
      <c r="AB47" s="8"/>
      <c r="AC47" s="8"/>
      <c r="AD47" s="8"/>
      <c r="AE47" s="8"/>
      <c r="AF47" s="8"/>
      <c r="AG47" s="8"/>
      <c r="AH47" s="8"/>
      <c r="AI47" s="8"/>
      <c r="AJ47" s="8"/>
      <c r="AK47" s="8"/>
      <c r="AL47" s="8" t="s">
        <v>173</v>
      </c>
      <c r="AM47" s="8" t="s">
        <v>173</v>
      </c>
      <c r="AN47" s="8" t="s">
        <v>173</v>
      </c>
      <c r="AO47" s="6" t="s">
        <v>624</v>
      </c>
      <c r="AP47" s="6" t="s">
        <v>625</v>
      </c>
      <c r="AQ47" s="11" t="s">
        <v>160</v>
      </c>
      <c r="AR47" s="11" t="s">
        <v>626</v>
      </c>
    </row>
    <row r="48" customFormat="false" ht="35.05" hidden="false" customHeight="false" outlineLevel="0" collapsed="false">
      <c r="A48" s="8" t="s">
        <v>627</v>
      </c>
      <c r="B48" s="11" t="s">
        <v>628</v>
      </c>
      <c r="C48" s="8" t="n">
        <v>2024</v>
      </c>
      <c r="D48" s="6" t="s">
        <v>629</v>
      </c>
      <c r="E48" s="11" t="s">
        <v>630</v>
      </c>
      <c r="F48" s="11" t="s">
        <v>214</v>
      </c>
      <c r="G48" s="12" t="s">
        <v>631</v>
      </c>
      <c r="H48" s="13" t="s">
        <v>19</v>
      </c>
      <c r="I48" s="8" t="s">
        <v>68</v>
      </c>
      <c r="J48" s="6" t="s">
        <v>632</v>
      </c>
      <c r="K48" s="11" t="s">
        <v>20</v>
      </c>
      <c r="L48" s="11" t="s">
        <v>633</v>
      </c>
      <c r="M48" s="11" t="s">
        <v>218</v>
      </c>
      <c r="N48" s="11" t="s">
        <v>634</v>
      </c>
      <c r="O48" s="11" t="s">
        <v>300</v>
      </c>
      <c r="P48" s="8"/>
      <c r="Q48" s="8"/>
      <c r="R48" s="8"/>
      <c r="S48" s="8" t="s">
        <v>172</v>
      </c>
      <c r="T48" s="8"/>
      <c r="U48" s="8"/>
      <c r="V48" s="8"/>
      <c r="W48" s="8" t="str">
        <f aca="false">IF(AND(P48="X",OR(R48="X",S48="X",T48="X")),"Sí","No")</f>
        <v>No</v>
      </c>
      <c r="X48" s="8"/>
      <c r="Y48" s="8"/>
      <c r="Z48" s="8"/>
      <c r="AA48" s="8"/>
      <c r="AB48" s="8"/>
      <c r="AC48" s="8"/>
      <c r="AD48" s="8"/>
      <c r="AE48" s="8"/>
      <c r="AF48" s="8"/>
      <c r="AG48" s="8"/>
      <c r="AH48" s="8"/>
      <c r="AI48" s="8"/>
      <c r="AJ48" s="8"/>
      <c r="AK48" s="8"/>
      <c r="AL48" s="8" t="s">
        <v>173</v>
      </c>
      <c r="AM48" s="8" t="s">
        <v>310</v>
      </c>
      <c r="AN48" s="8" t="s">
        <v>173</v>
      </c>
      <c r="AO48" s="6" t="s">
        <v>635</v>
      </c>
      <c r="AP48" s="6" t="s">
        <v>636</v>
      </c>
      <c r="AQ48" s="11" t="s">
        <v>160</v>
      </c>
      <c r="AR48" s="11" t="s">
        <v>637</v>
      </c>
    </row>
    <row r="49" customFormat="false" ht="23.85" hidden="false" customHeight="false" outlineLevel="0" collapsed="false">
      <c r="A49" s="8" t="s">
        <v>638</v>
      </c>
      <c r="B49" s="11" t="s">
        <v>639</v>
      </c>
      <c r="C49" s="8" t="n">
        <v>2024</v>
      </c>
      <c r="D49" s="6" t="s">
        <v>640</v>
      </c>
      <c r="E49" s="11" t="s">
        <v>641</v>
      </c>
      <c r="F49" s="11" t="s">
        <v>165</v>
      </c>
      <c r="G49" s="12" t="s">
        <v>642</v>
      </c>
      <c r="H49" s="13" t="s">
        <v>19</v>
      </c>
      <c r="I49" s="8" t="s">
        <v>68</v>
      </c>
      <c r="J49" s="6" t="s">
        <v>643</v>
      </c>
      <c r="K49" s="11" t="s">
        <v>20</v>
      </c>
      <c r="L49" s="11" t="s">
        <v>409</v>
      </c>
      <c r="M49" s="11" t="s">
        <v>205</v>
      </c>
      <c r="N49" s="11" t="s">
        <v>170</v>
      </c>
      <c r="O49" s="11" t="s">
        <v>171</v>
      </c>
      <c r="P49" s="8"/>
      <c r="Q49" s="8" t="s">
        <v>172</v>
      </c>
      <c r="R49" s="8" t="s">
        <v>172</v>
      </c>
      <c r="S49" s="8"/>
      <c r="T49" s="8"/>
      <c r="U49" s="8"/>
      <c r="V49" s="8"/>
      <c r="W49" s="8" t="str">
        <f aca="false">IF(AND(P49="X",OR(R49="X",S49="X",T49="X")),"Sí","No")</f>
        <v>No</v>
      </c>
      <c r="X49" s="8"/>
      <c r="Y49" s="8"/>
      <c r="Z49" s="8"/>
      <c r="AA49" s="8"/>
      <c r="AB49" s="8"/>
      <c r="AC49" s="8"/>
      <c r="AD49" s="8"/>
      <c r="AE49" s="8"/>
      <c r="AF49" s="8"/>
      <c r="AG49" s="8"/>
      <c r="AH49" s="8"/>
      <c r="AI49" s="8"/>
      <c r="AJ49" s="8"/>
      <c r="AK49" s="8"/>
      <c r="AL49" s="8" t="s">
        <v>310</v>
      </c>
      <c r="AM49" s="8" t="s">
        <v>173</v>
      </c>
      <c r="AN49" s="8" t="s">
        <v>173</v>
      </c>
      <c r="AO49" s="6" t="s">
        <v>644</v>
      </c>
      <c r="AP49" s="6" t="s">
        <v>242</v>
      </c>
      <c r="AQ49" s="11" t="s">
        <v>645</v>
      </c>
      <c r="AR49" s="11" t="s">
        <v>646</v>
      </c>
    </row>
    <row r="50" customFormat="false" ht="35.05" hidden="false" customHeight="false" outlineLevel="0" collapsed="false">
      <c r="A50" s="8" t="s">
        <v>647</v>
      </c>
      <c r="B50" s="11" t="s">
        <v>648</v>
      </c>
      <c r="C50" s="8" t="n">
        <v>2022</v>
      </c>
      <c r="D50" s="6" t="s">
        <v>649</v>
      </c>
      <c r="E50" s="11" t="s">
        <v>650</v>
      </c>
      <c r="F50" s="11" t="s">
        <v>214</v>
      </c>
      <c r="G50" s="12" t="s">
        <v>651</v>
      </c>
      <c r="H50" s="13" t="s">
        <v>19</v>
      </c>
      <c r="I50" s="8" t="s">
        <v>68</v>
      </c>
      <c r="J50" s="6" t="s">
        <v>652</v>
      </c>
      <c r="K50" s="11" t="s">
        <v>19</v>
      </c>
      <c r="L50" s="11" t="s">
        <v>217</v>
      </c>
      <c r="M50" s="11" t="s">
        <v>218</v>
      </c>
      <c r="N50" s="11" t="s">
        <v>206</v>
      </c>
      <c r="O50" s="11" t="s">
        <v>206</v>
      </c>
      <c r="P50" s="8"/>
      <c r="Q50" s="8"/>
      <c r="R50" s="8" t="s">
        <v>172</v>
      </c>
      <c r="S50" s="8" t="s">
        <v>172</v>
      </c>
      <c r="T50" s="8"/>
      <c r="U50" s="8"/>
      <c r="V50" s="8"/>
      <c r="W50" s="8" t="str">
        <f aca="false">IF(AND(P50="X",OR(R50="X",S50="X",T50="X")),"Sí","No")</f>
        <v>No</v>
      </c>
      <c r="X50" s="8" t="s">
        <v>172</v>
      </c>
      <c r="Y50" s="8"/>
      <c r="Z50" s="8" t="s">
        <v>172</v>
      </c>
      <c r="AA50" s="8" t="s">
        <v>172</v>
      </c>
      <c r="AB50" s="8" t="s">
        <v>172</v>
      </c>
      <c r="AC50" s="8"/>
      <c r="AD50" s="8" t="s">
        <v>172</v>
      </c>
      <c r="AE50" s="8"/>
      <c r="AF50" s="8"/>
      <c r="AG50" s="8"/>
      <c r="AH50" s="8"/>
      <c r="AI50" s="8"/>
      <c r="AJ50" s="8"/>
      <c r="AK50" s="8"/>
      <c r="AL50" s="8" t="s">
        <v>173</v>
      </c>
      <c r="AM50" s="8" t="s">
        <v>173</v>
      </c>
      <c r="AN50" s="8" t="s">
        <v>173</v>
      </c>
      <c r="AO50" s="6" t="s">
        <v>653</v>
      </c>
      <c r="AP50" s="6" t="s">
        <v>654</v>
      </c>
      <c r="AQ50" s="11" t="s">
        <v>160</v>
      </c>
      <c r="AR50" s="11" t="s">
        <v>655</v>
      </c>
    </row>
    <row r="51" customFormat="false" ht="35.05" hidden="false" customHeight="false" outlineLevel="0" collapsed="false">
      <c r="A51" s="8" t="s">
        <v>656</v>
      </c>
      <c r="B51" s="11" t="s">
        <v>657</v>
      </c>
      <c r="C51" s="8" t="n">
        <v>2024</v>
      </c>
      <c r="D51" s="6" t="s">
        <v>658</v>
      </c>
      <c r="E51" s="11" t="s">
        <v>487</v>
      </c>
      <c r="F51" s="11" t="s">
        <v>165</v>
      </c>
      <c r="G51" s="12" t="s">
        <v>659</v>
      </c>
      <c r="H51" s="13" t="s">
        <v>21</v>
      </c>
      <c r="I51" s="8" t="s">
        <v>89</v>
      </c>
      <c r="J51" s="6" t="s">
        <v>660</v>
      </c>
      <c r="K51" s="11" t="s">
        <v>21</v>
      </c>
      <c r="L51" s="11" t="s">
        <v>661</v>
      </c>
      <c r="M51" s="11" t="s">
        <v>184</v>
      </c>
      <c r="N51" s="11" t="s">
        <v>206</v>
      </c>
      <c r="O51" s="11" t="s">
        <v>206</v>
      </c>
      <c r="P51" s="8" t="s">
        <v>172</v>
      </c>
      <c r="Q51" s="8"/>
      <c r="R51" s="8"/>
      <c r="S51" s="8" t="s">
        <v>172</v>
      </c>
      <c r="T51" s="8"/>
      <c r="U51" s="8"/>
      <c r="V51" s="8"/>
      <c r="W51" s="8" t="str">
        <f aca="false">IF(AND(P51="X",OR(R51="X",S51="X",T51="X")),"Sí","No")</f>
        <v>Sí</v>
      </c>
      <c r="X51" s="8"/>
      <c r="Y51" s="8"/>
      <c r="Z51" s="8"/>
      <c r="AA51" s="8"/>
      <c r="AB51" s="8"/>
      <c r="AC51" s="8"/>
      <c r="AD51" s="8"/>
      <c r="AE51" s="8"/>
      <c r="AF51" s="8"/>
      <c r="AG51" s="8"/>
      <c r="AH51" s="8"/>
      <c r="AI51" s="8"/>
      <c r="AJ51" s="8"/>
      <c r="AK51" s="8"/>
      <c r="AL51" s="8" t="s">
        <v>173</v>
      </c>
      <c r="AM51" s="8" t="s">
        <v>173</v>
      </c>
      <c r="AN51" s="8" t="s">
        <v>173</v>
      </c>
      <c r="AO51" s="6" t="s">
        <v>662</v>
      </c>
      <c r="AP51" s="6" t="s">
        <v>663</v>
      </c>
      <c r="AQ51" s="11" t="s">
        <v>160</v>
      </c>
      <c r="AR51" s="11" t="s">
        <v>664</v>
      </c>
    </row>
    <row r="52" customFormat="false" ht="23.85" hidden="false" customHeight="false" outlineLevel="0" collapsed="false">
      <c r="A52" s="8" t="s">
        <v>665</v>
      </c>
      <c r="B52" s="11" t="s">
        <v>666</v>
      </c>
      <c r="C52" s="8" t="n">
        <v>2026</v>
      </c>
      <c r="D52" s="6" t="s">
        <v>667</v>
      </c>
      <c r="E52" s="11" t="s">
        <v>668</v>
      </c>
      <c r="F52" s="11" t="s">
        <v>165</v>
      </c>
      <c r="G52" s="12" t="s">
        <v>669</v>
      </c>
      <c r="H52" s="13" t="s">
        <v>19</v>
      </c>
      <c r="I52" s="8" t="s">
        <v>68</v>
      </c>
      <c r="J52" s="6" t="s">
        <v>670</v>
      </c>
      <c r="K52" s="11" t="s">
        <v>19</v>
      </c>
      <c r="L52" s="11" t="s">
        <v>671</v>
      </c>
      <c r="M52" s="11" t="s">
        <v>184</v>
      </c>
      <c r="N52" s="11" t="s">
        <v>288</v>
      </c>
      <c r="O52" s="11" t="s">
        <v>288</v>
      </c>
      <c r="P52" s="8" t="s">
        <v>172</v>
      </c>
      <c r="Q52" s="8"/>
      <c r="R52" s="8"/>
      <c r="S52" s="8" t="s">
        <v>172</v>
      </c>
      <c r="T52" s="8"/>
      <c r="U52" s="8"/>
      <c r="V52" s="8"/>
      <c r="W52" s="8" t="str">
        <f aca="false">IF(AND(P52="X",OR(R52="X",S52="X",T52="X")),"Sí","No")</f>
        <v>Sí</v>
      </c>
      <c r="X52" s="8"/>
      <c r="Y52" s="8"/>
      <c r="Z52" s="8"/>
      <c r="AA52" s="8"/>
      <c r="AB52" s="8" t="s">
        <v>172</v>
      </c>
      <c r="AC52" s="8" t="s">
        <v>172</v>
      </c>
      <c r="AD52" s="8"/>
      <c r="AE52" s="8"/>
      <c r="AF52" s="8"/>
      <c r="AG52" s="8"/>
      <c r="AH52" s="8"/>
      <c r="AI52" s="8"/>
      <c r="AJ52" s="8"/>
      <c r="AK52" s="8"/>
      <c r="AL52" s="8" t="s">
        <v>173</v>
      </c>
      <c r="AM52" s="8" t="s">
        <v>173</v>
      </c>
      <c r="AN52" s="8" t="s">
        <v>173</v>
      </c>
      <c r="AO52" s="6" t="s">
        <v>672</v>
      </c>
      <c r="AP52" s="6" t="s">
        <v>673</v>
      </c>
      <c r="AQ52" s="11" t="s">
        <v>160</v>
      </c>
      <c r="AR52" s="11" t="s">
        <v>674</v>
      </c>
    </row>
    <row r="53" customFormat="false" ht="23.85" hidden="false" customHeight="false" outlineLevel="0" collapsed="false">
      <c r="A53" s="8" t="s">
        <v>675</v>
      </c>
      <c r="B53" s="11" t="s">
        <v>676</v>
      </c>
      <c r="C53" s="8" t="n">
        <v>2024</v>
      </c>
      <c r="D53" s="6" t="s">
        <v>677</v>
      </c>
      <c r="E53" s="11" t="s">
        <v>678</v>
      </c>
      <c r="F53" s="11" t="s">
        <v>214</v>
      </c>
      <c r="G53" s="12" t="s">
        <v>679</v>
      </c>
      <c r="H53" s="13" t="s">
        <v>19</v>
      </c>
      <c r="I53" s="8" t="s">
        <v>68</v>
      </c>
      <c r="J53" s="6" t="s">
        <v>680</v>
      </c>
      <c r="K53" s="11" t="s">
        <v>19</v>
      </c>
      <c r="L53" s="11" t="s">
        <v>681</v>
      </c>
      <c r="M53" s="11" t="s">
        <v>184</v>
      </c>
      <c r="N53" s="11" t="s">
        <v>682</v>
      </c>
      <c r="O53" s="11" t="s">
        <v>194</v>
      </c>
      <c r="P53" s="8"/>
      <c r="Q53" s="8"/>
      <c r="R53" s="8" t="s">
        <v>172</v>
      </c>
      <c r="S53" s="8" t="s">
        <v>172</v>
      </c>
      <c r="T53" s="8"/>
      <c r="U53" s="8"/>
      <c r="V53" s="8"/>
      <c r="W53" s="8" t="str">
        <f aca="false">IF(AND(P53="X",OR(R53="X",S53="X",T53="X")),"Sí","No")</f>
        <v>No</v>
      </c>
      <c r="X53" s="8"/>
      <c r="Y53" s="8"/>
      <c r="Z53" s="8"/>
      <c r="AA53" s="8"/>
      <c r="AB53" s="8"/>
      <c r="AC53" s="8"/>
      <c r="AD53" s="8"/>
      <c r="AE53" s="8"/>
      <c r="AF53" s="8"/>
      <c r="AG53" s="8"/>
      <c r="AH53" s="8"/>
      <c r="AI53" s="8"/>
      <c r="AJ53" s="8"/>
      <c r="AK53" s="8"/>
      <c r="AL53" s="8" t="s">
        <v>173</v>
      </c>
      <c r="AM53" s="8" t="s">
        <v>173</v>
      </c>
      <c r="AN53" s="8" t="s">
        <v>173</v>
      </c>
      <c r="AO53" s="6" t="s">
        <v>683</v>
      </c>
      <c r="AP53" s="6" t="s">
        <v>684</v>
      </c>
      <c r="AQ53" s="11" t="s">
        <v>160</v>
      </c>
      <c r="AR53" s="11" t="s">
        <v>685</v>
      </c>
    </row>
    <row r="54" customFormat="false" ht="35.05" hidden="false" customHeight="false" outlineLevel="0" collapsed="false">
      <c r="A54" s="8" t="s">
        <v>686</v>
      </c>
      <c r="B54" s="11" t="s">
        <v>687</v>
      </c>
      <c r="C54" s="8" t="n">
        <v>2026</v>
      </c>
      <c r="D54" s="6" t="s">
        <v>688</v>
      </c>
      <c r="E54" s="11" t="s">
        <v>689</v>
      </c>
      <c r="F54" s="11" t="s">
        <v>165</v>
      </c>
      <c r="G54" s="12" t="s">
        <v>690</v>
      </c>
      <c r="H54" s="13" t="s">
        <v>19</v>
      </c>
      <c r="I54" s="8" t="s">
        <v>68</v>
      </c>
      <c r="J54" s="6" t="s">
        <v>691</v>
      </c>
      <c r="K54" s="11" t="s">
        <v>19</v>
      </c>
      <c r="L54" s="11" t="s">
        <v>250</v>
      </c>
      <c r="M54" s="11" t="s">
        <v>251</v>
      </c>
      <c r="N54" s="11" t="s">
        <v>170</v>
      </c>
      <c r="O54" s="11" t="s">
        <v>171</v>
      </c>
      <c r="P54" s="8"/>
      <c r="Q54" s="8"/>
      <c r="R54" s="8"/>
      <c r="S54" s="8" t="s">
        <v>172</v>
      </c>
      <c r="T54" s="8"/>
      <c r="U54" s="8"/>
      <c r="V54" s="8"/>
      <c r="W54" s="8" t="str">
        <f aca="false">IF(AND(P54="X",OR(R54="X",S54="X",T54="X")),"Sí","No")</f>
        <v>No</v>
      </c>
      <c r="X54" s="8"/>
      <c r="Y54" s="8"/>
      <c r="Z54" s="8"/>
      <c r="AA54" s="8"/>
      <c r="AB54" s="8"/>
      <c r="AC54" s="8"/>
      <c r="AD54" s="8"/>
      <c r="AE54" s="8"/>
      <c r="AF54" s="8"/>
      <c r="AG54" s="8"/>
      <c r="AH54" s="8"/>
      <c r="AI54" s="8"/>
      <c r="AJ54" s="8"/>
      <c r="AK54" s="8"/>
      <c r="AL54" s="8" t="s">
        <v>173</v>
      </c>
      <c r="AM54" s="8" t="s">
        <v>173</v>
      </c>
      <c r="AN54" s="8" t="s">
        <v>173</v>
      </c>
      <c r="AO54" s="6" t="s">
        <v>692</v>
      </c>
      <c r="AP54" s="6" t="s">
        <v>693</v>
      </c>
      <c r="AQ54" s="11" t="s">
        <v>160</v>
      </c>
      <c r="AR54" s="11" t="s">
        <v>694</v>
      </c>
    </row>
    <row r="55" customFormat="false" ht="23.85" hidden="false" customHeight="false" outlineLevel="0" collapsed="false">
      <c r="A55" s="8" t="s">
        <v>695</v>
      </c>
      <c r="B55" s="11" t="s">
        <v>696</v>
      </c>
      <c r="C55" s="8" t="n">
        <v>2024</v>
      </c>
      <c r="D55" s="6" t="s">
        <v>697</v>
      </c>
      <c r="E55" s="11" t="s">
        <v>487</v>
      </c>
      <c r="F55" s="11" t="s">
        <v>165</v>
      </c>
      <c r="G55" s="12" t="s">
        <v>698</v>
      </c>
      <c r="H55" s="13" t="s">
        <v>21</v>
      </c>
      <c r="I55" s="8" t="s">
        <v>89</v>
      </c>
      <c r="J55" s="6" t="s">
        <v>699</v>
      </c>
      <c r="K55" s="11" t="s">
        <v>21</v>
      </c>
      <c r="L55" s="11" t="s">
        <v>700</v>
      </c>
      <c r="M55" s="11" t="s">
        <v>169</v>
      </c>
      <c r="N55" s="11" t="s">
        <v>229</v>
      </c>
      <c r="O55" s="11" t="s">
        <v>171</v>
      </c>
      <c r="P55" s="8" t="s">
        <v>172</v>
      </c>
      <c r="Q55" s="8"/>
      <c r="R55" s="8"/>
      <c r="S55" s="8"/>
      <c r="T55" s="8"/>
      <c r="U55" s="8"/>
      <c r="V55" s="8"/>
      <c r="W55" s="8" t="str">
        <f aca="false">IF(AND(P55="X",OR(R55="X",S55="X",T55="X")),"Sí","No")</f>
        <v>No</v>
      </c>
      <c r="X55" s="8"/>
      <c r="Y55" s="8"/>
      <c r="Z55" s="8"/>
      <c r="AA55" s="8"/>
      <c r="AB55" s="8"/>
      <c r="AC55" s="8"/>
      <c r="AD55" s="8"/>
      <c r="AE55" s="8"/>
      <c r="AF55" s="8"/>
      <c r="AG55" s="8"/>
      <c r="AH55" s="8"/>
      <c r="AI55" s="8"/>
      <c r="AJ55" s="8"/>
      <c r="AK55" s="8"/>
      <c r="AL55" s="8" t="s">
        <v>173</v>
      </c>
      <c r="AM55" s="8" t="s">
        <v>173</v>
      </c>
      <c r="AN55" s="8" t="s">
        <v>173</v>
      </c>
      <c r="AO55" s="6" t="s">
        <v>230</v>
      </c>
      <c r="AP55" s="6" t="s">
        <v>701</v>
      </c>
      <c r="AQ55" s="11" t="s">
        <v>160</v>
      </c>
      <c r="AR55" s="11" t="s">
        <v>702</v>
      </c>
    </row>
    <row r="56" customFormat="false" ht="23.85" hidden="false" customHeight="false" outlineLevel="0" collapsed="false">
      <c r="A56" s="8" t="s">
        <v>703</v>
      </c>
      <c r="B56" s="11" t="s">
        <v>704</v>
      </c>
      <c r="C56" s="8" t="n">
        <v>2024</v>
      </c>
      <c r="D56" s="6" t="s">
        <v>705</v>
      </c>
      <c r="E56" s="11" t="s">
        <v>706</v>
      </c>
      <c r="F56" s="11" t="s">
        <v>165</v>
      </c>
      <c r="G56" s="12" t="s">
        <v>707</v>
      </c>
      <c r="H56" s="13" t="s">
        <v>20</v>
      </c>
      <c r="I56" s="8" t="s">
        <v>83</v>
      </c>
      <c r="J56" s="6" t="s">
        <v>708</v>
      </c>
      <c r="K56" s="11" t="s">
        <v>21</v>
      </c>
      <c r="L56" s="11" t="s">
        <v>238</v>
      </c>
      <c r="M56" s="11" t="s">
        <v>239</v>
      </c>
      <c r="N56" s="11" t="s">
        <v>170</v>
      </c>
      <c r="O56" s="11" t="s">
        <v>171</v>
      </c>
      <c r="P56" s="8"/>
      <c r="Q56" s="8"/>
      <c r="R56" s="8" t="s">
        <v>172</v>
      </c>
      <c r="S56" s="8"/>
      <c r="T56" s="8"/>
      <c r="U56" s="8"/>
      <c r="V56" s="8"/>
      <c r="W56" s="8" t="str">
        <f aca="false">IF(AND(P56="X",OR(R56="X",S56="X",T56="X")),"Sí","No")</f>
        <v>No</v>
      </c>
      <c r="X56" s="8"/>
      <c r="Y56" s="8"/>
      <c r="Z56" s="8"/>
      <c r="AA56" s="8"/>
      <c r="AB56" s="8"/>
      <c r="AC56" s="8"/>
      <c r="AD56" s="8"/>
      <c r="AE56" s="8"/>
      <c r="AF56" s="8"/>
      <c r="AG56" s="8"/>
      <c r="AH56" s="8"/>
      <c r="AI56" s="8"/>
      <c r="AJ56" s="8"/>
      <c r="AK56" s="8"/>
      <c r="AL56" s="8" t="s">
        <v>173</v>
      </c>
      <c r="AM56" s="8" t="s">
        <v>173</v>
      </c>
      <c r="AN56" s="8" t="s">
        <v>173</v>
      </c>
      <c r="AO56" s="6" t="s">
        <v>230</v>
      </c>
      <c r="AP56" s="6" t="s">
        <v>230</v>
      </c>
      <c r="AQ56" s="11" t="s">
        <v>160</v>
      </c>
      <c r="AR56" s="11" t="s">
        <v>709</v>
      </c>
    </row>
    <row r="57" customFormat="false" ht="23.85" hidden="false" customHeight="false" outlineLevel="0" collapsed="false">
      <c r="A57" s="8" t="s">
        <v>710</v>
      </c>
      <c r="B57" s="11" t="s">
        <v>711</v>
      </c>
      <c r="C57" s="8" t="n">
        <v>2026</v>
      </c>
      <c r="D57" s="6" t="s">
        <v>712</v>
      </c>
      <c r="E57" s="11" t="s">
        <v>713</v>
      </c>
      <c r="F57" s="11" t="s">
        <v>165</v>
      </c>
      <c r="G57" s="12" t="s">
        <v>714</v>
      </c>
      <c r="H57" s="13" t="s">
        <v>19</v>
      </c>
      <c r="I57" s="8" t="s">
        <v>68</v>
      </c>
      <c r="J57" s="6" t="s">
        <v>715</v>
      </c>
      <c r="K57" s="11" t="s">
        <v>19</v>
      </c>
      <c r="L57" s="11" t="s">
        <v>716</v>
      </c>
      <c r="M57" s="11" t="s">
        <v>251</v>
      </c>
      <c r="N57" s="11" t="s">
        <v>206</v>
      </c>
      <c r="O57" s="11" t="s">
        <v>206</v>
      </c>
      <c r="P57" s="8" t="s">
        <v>172</v>
      </c>
      <c r="Q57" s="8"/>
      <c r="R57" s="8"/>
      <c r="S57" s="8" t="s">
        <v>172</v>
      </c>
      <c r="T57" s="8"/>
      <c r="U57" s="8"/>
      <c r="V57" s="8"/>
      <c r="W57" s="8" t="str">
        <f aca="false">IF(AND(P57="X",OR(R57="X",S57="X",T57="X")),"Sí","No")</f>
        <v>Sí</v>
      </c>
      <c r="X57" s="8"/>
      <c r="Y57" s="8"/>
      <c r="Z57" s="8"/>
      <c r="AA57" s="8"/>
      <c r="AB57" s="8"/>
      <c r="AC57" s="8"/>
      <c r="AD57" s="8"/>
      <c r="AE57" s="8"/>
      <c r="AF57" s="8"/>
      <c r="AG57" s="8" t="s">
        <v>172</v>
      </c>
      <c r="AH57" s="8"/>
      <c r="AI57" s="8"/>
      <c r="AJ57" s="8"/>
      <c r="AK57" s="8"/>
      <c r="AL57" s="8" t="s">
        <v>310</v>
      </c>
      <c r="AM57" s="8" t="s">
        <v>173</v>
      </c>
      <c r="AN57" s="8" t="s">
        <v>173</v>
      </c>
      <c r="AO57" s="6" t="s">
        <v>717</v>
      </c>
      <c r="AP57" s="6" t="s">
        <v>718</v>
      </c>
      <c r="AQ57" s="11" t="s">
        <v>341</v>
      </c>
      <c r="AR57" s="11" t="s">
        <v>719</v>
      </c>
    </row>
    <row r="58" customFormat="false" ht="23.85" hidden="false" customHeight="false" outlineLevel="0" collapsed="false">
      <c r="A58" s="8" t="s">
        <v>720</v>
      </c>
      <c r="B58" s="11" t="s">
        <v>721</v>
      </c>
      <c r="C58" s="8" t="n">
        <v>2025</v>
      </c>
      <c r="D58" s="6" t="s">
        <v>722</v>
      </c>
      <c r="E58" s="11" t="s">
        <v>189</v>
      </c>
      <c r="F58" s="11" t="s">
        <v>165</v>
      </c>
      <c r="G58" s="12" t="s">
        <v>723</v>
      </c>
      <c r="H58" s="13" t="s">
        <v>19</v>
      </c>
      <c r="I58" s="8" t="s">
        <v>68</v>
      </c>
      <c r="J58" s="6" t="s">
        <v>724</v>
      </c>
      <c r="K58" s="11" t="s">
        <v>19</v>
      </c>
      <c r="L58" s="11" t="s">
        <v>217</v>
      </c>
      <c r="M58" s="11" t="s">
        <v>218</v>
      </c>
      <c r="N58" s="11" t="s">
        <v>206</v>
      </c>
      <c r="O58" s="11" t="s">
        <v>206</v>
      </c>
      <c r="P58" s="8" t="s">
        <v>172</v>
      </c>
      <c r="Q58" s="8"/>
      <c r="R58" s="8"/>
      <c r="S58" s="8"/>
      <c r="T58" s="8" t="s">
        <v>172</v>
      </c>
      <c r="U58" s="8"/>
      <c r="V58" s="8"/>
      <c r="W58" s="8" t="str">
        <f aca="false">IF(AND(P58="X",OR(R58="X",S58="X",T58="X")),"Sí","No")</f>
        <v>Sí</v>
      </c>
      <c r="X58" s="8"/>
      <c r="Y58" s="8"/>
      <c r="Z58" s="8"/>
      <c r="AA58" s="8"/>
      <c r="AB58" s="8"/>
      <c r="AC58" s="8"/>
      <c r="AD58" s="8"/>
      <c r="AE58" s="8" t="s">
        <v>172</v>
      </c>
      <c r="AF58" s="8"/>
      <c r="AG58" s="8"/>
      <c r="AH58" s="8"/>
      <c r="AI58" s="8"/>
      <c r="AJ58" s="8"/>
      <c r="AK58" s="8"/>
      <c r="AL58" s="8" t="s">
        <v>173</v>
      </c>
      <c r="AM58" s="8" t="s">
        <v>173</v>
      </c>
      <c r="AN58" s="8" t="s">
        <v>173</v>
      </c>
      <c r="AO58" s="6" t="s">
        <v>725</v>
      </c>
      <c r="AP58" s="6" t="s">
        <v>726</v>
      </c>
      <c r="AQ58" s="11" t="s">
        <v>160</v>
      </c>
      <c r="AR58" s="11" t="s">
        <v>727</v>
      </c>
    </row>
    <row r="59" customFormat="false" ht="23.85" hidden="false" customHeight="false" outlineLevel="0" collapsed="false">
      <c r="A59" s="8" t="s">
        <v>728</v>
      </c>
      <c r="B59" s="11" t="s">
        <v>729</v>
      </c>
      <c r="C59" s="8" t="n">
        <v>2023</v>
      </c>
      <c r="D59" s="6" t="s">
        <v>730</v>
      </c>
      <c r="E59" s="11" t="s">
        <v>487</v>
      </c>
      <c r="F59" s="11" t="s">
        <v>165</v>
      </c>
      <c r="G59" s="12" t="s">
        <v>731</v>
      </c>
      <c r="H59" s="13" t="s">
        <v>20</v>
      </c>
      <c r="I59" s="8" t="s">
        <v>77</v>
      </c>
      <c r="J59" s="6" t="s">
        <v>732</v>
      </c>
      <c r="K59" s="11" t="s">
        <v>21</v>
      </c>
      <c r="L59" s="11" t="s">
        <v>733</v>
      </c>
      <c r="M59" s="11" t="s">
        <v>298</v>
      </c>
      <c r="N59" s="11" t="s">
        <v>206</v>
      </c>
      <c r="O59" s="11" t="s">
        <v>206</v>
      </c>
      <c r="P59" s="8"/>
      <c r="Q59" s="8"/>
      <c r="R59" s="8" t="s">
        <v>172</v>
      </c>
      <c r="S59" s="8"/>
      <c r="T59" s="8"/>
      <c r="U59" s="8"/>
      <c r="V59" s="8" t="s">
        <v>172</v>
      </c>
      <c r="W59" s="8" t="str">
        <f aca="false">IF(AND(P59="X",OR(R59="X",S59="X",T59="X")),"Sí","No")</f>
        <v>No</v>
      </c>
      <c r="X59" s="8"/>
      <c r="Y59" s="8"/>
      <c r="Z59" s="8"/>
      <c r="AA59" s="8"/>
      <c r="AB59" s="8"/>
      <c r="AC59" s="8"/>
      <c r="AD59" s="8"/>
      <c r="AE59" s="8"/>
      <c r="AF59" s="8"/>
      <c r="AG59" s="8"/>
      <c r="AH59" s="8"/>
      <c r="AI59" s="8"/>
      <c r="AJ59" s="8"/>
      <c r="AK59" s="8"/>
      <c r="AL59" s="8" t="s">
        <v>310</v>
      </c>
      <c r="AM59" s="8" t="s">
        <v>310</v>
      </c>
      <c r="AN59" s="8" t="s">
        <v>173</v>
      </c>
      <c r="AO59" s="6" t="s">
        <v>734</v>
      </c>
      <c r="AP59" s="6" t="s">
        <v>735</v>
      </c>
      <c r="AQ59" s="11" t="s">
        <v>160</v>
      </c>
      <c r="AR59" s="11" t="s">
        <v>736</v>
      </c>
    </row>
    <row r="60" customFormat="false" ht="46.25" hidden="false" customHeight="false" outlineLevel="0" collapsed="false">
      <c r="A60" s="8" t="s">
        <v>737</v>
      </c>
      <c r="B60" s="11" t="s">
        <v>738</v>
      </c>
      <c r="C60" s="8" t="n">
        <v>2026</v>
      </c>
      <c r="D60" s="6" t="s">
        <v>739</v>
      </c>
      <c r="E60" s="11" t="s">
        <v>740</v>
      </c>
      <c r="F60" s="11" t="s">
        <v>214</v>
      </c>
      <c r="G60" s="12" t="s">
        <v>741</v>
      </c>
      <c r="H60" s="13" t="s">
        <v>19</v>
      </c>
      <c r="I60" s="8" t="s">
        <v>68</v>
      </c>
      <c r="J60" s="6" t="s">
        <v>742</v>
      </c>
      <c r="K60" s="11" t="s">
        <v>19</v>
      </c>
      <c r="L60" s="11" t="s">
        <v>217</v>
      </c>
      <c r="M60" s="11" t="s">
        <v>218</v>
      </c>
      <c r="N60" s="11" t="s">
        <v>743</v>
      </c>
      <c r="O60" s="11" t="s">
        <v>300</v>
      </c>
      <c r="P60" s="8"/>
      <c r="Q60" s="8"/>
      <c r="R60" s="8"/>
      <c r="S60" s="8" t="s">
        <v>172</v>
      </c>
      <c r="T60" s="8" t="s">
        <v>172</v>
      </c>
      <c r="U60" s="8"/>
      <c r="V60" s="8"/>
      <c r="W60" s="8" t="str">
        <f aca="false">IF(AND(P60="X",OR(R60="X",S60="X",T60="X")),"Sí","No")</f>
        <v>No</v>
      </c>
      <c r="X60" s="8"/>
      <c r="Y60" s="8"/>
      <c r="Z60" s="8"/>
      <c r="AA60" s="8"/>
      <c r="AB60" s="8"/>
      <c r="AC60" s="8"/>
      <c r="AD60" s="8"/>
      <c r="AE60" s="8"/>
      <c r="AF60" s="8"/>
      <c r="AG60" s="8"/>
      <c r="AH60" s="8"/>
      <c r="AI60" s="8"/>
      <c r="AJ60" s="8"/>
      <c r="AK60" s="8"/>
      <c r="AL60" s="8" t="s">
        <v>173</v>
      </c>
      <c r="AM60" s="8" t="s">
        <v>173</v>
      </c>
      <c r="AN60" s="8" t="s">
        <v>173</v>
      </c>
      <c r="AO60" s="6" t="s">
        <v>744</v>
      </c>
      <c r="AP60" s="6" t="s">
        <v>745</v>
      </c>
      <c r="AQ60" s="11" t="s">
        <v>160</v>
      </c>
      <c r="AR60" s="11" t="s">
        <v>746</v>
      </c>
    </row>
    <row r="61" customFormat="false" ht="23.85" hidden="false" customHeight="false" outlineLevel="0" collapsed="false">
      <c r="A61" s="8" t="s">
        <v>747</v>
      </c>
      <c r="B61" s="11" t="s">
        <v>748</v>
      </c>
      <c r="C61" s="8" t="n">
        <v>2026</v>
      </c>
      <c r="D61" s="6" t="s">
        <v>749</v>
      </c>
      <c r="E61" s="11" t="s">
        <v>533</v>
      </c>
      <c r="F61" s="11" t="s">
        <v>165</v>
      </c>
      <c r="G61" s="12" t="s">
        <v>750</v>
      </c>
      <c r="H61" s="13" t="s">
        <v>20</v>
      </c>
      <c r="I61" s="8" t="s">
        <v>80</v>
      </c>
      <c r="J61" s="6" t="s">
        <v>751</v>
      </c>
      <c r="K61" s="11" t="s">
        <v>20</v>
      </c>
      <c r="L61" s="11" t="s">
        <v>752</v>
      </c>
      <c r="M61" s="11" t="s">
        <v>184</v>
      </c>
      <c r="N61" s="11" t="s">
        <v>206</v>
      </c>
      <c r="O61" s="11" t="s">
        <v>206</v>
      </c>
      <c r="P61" s="8"/>
      <c r="Q61" s="8"/>
      <c r="R61" s="8" t="s">
        <v>172</v>
      </c>
      <c r="S61" s="8" t="s">
        <v>172</v>
      </c>
      <c r="T61" s="8"/>
      <c r="U61" s="8"/>
      <c r="V61" s="8"/>
      <c r="W61" s="8" t="str">
        <f aca="false">IF(AND(P61="X",OR(R61="X",S61="X",T61="X")),"Sí","No")</f>
        <v>No</v>
      </c>
      <c r="X61" s="8"/>
      <c r="Y61" s="8"/>
      <c r="Z61" s="8"/>
      <c r="AA61" s="8"/>
      <c r="AB61" s="8"/>
      <c r="AC61" s="8"/>
      <c r="AD61" s="8"/>
      <c r="AE61" s="8"/>
      <c r="AF61" s="8"/>
      <c r="AG61" s="8"/>
      <c r="AH61" s="8"/>
      <c r="AI61" s="8"/>
      <c r="AJ61" s="8"/>
      <c r="AK61" s="8"/>
      <c r="AL61" s="8" t="s">
        <v>173</v>
      </c>
      <c r="AM61" s="8" t="s">
        <v>173</v>
      </c>
      <c r="AN61" s="8" t="s">
        <v>173</v>
      </c>
      <c r="AO61" s="6" t="s">
        <v>753</v>
      </c>
      <c r="AP61" s="6" t="s">
        <v>754</v>
      </c>
      <c r="AQ61" s="11" t="s">
        <v>160</v>
      </c>
      <c r="AR61" s="11" t="s">
        <v>755</v>
      </c>
    </row>
    <row r="62" customFormat="false" ht="23.85" hidden="false" customHeight="false" outlineLevel="0" collapsed="false">
      <c r="A62" s="8" t="s">
        <v>756</v>
      </c>
      <c r="B62" s="11" t="s">
        <v>757</v>
      </c>
      <c r="C62" s="8" t="n">
        <v>2023</v>
      </c>
      <c r="D62" s="6" t="s">
        <v>758</v>
      </c>
      <c r="E62" s="11" t="s">
        <v>759</v>
      </c>
      <c r="F62" s="11" t="s">
        <v>165</v>
      </c>
      <c r="G62" s="12" t="s">
        <v>760</v>
      </c>
      <c r="H62" s="13" t="s">
        <v>21</v>
      </c>
      <c r="I62" s="8" t="s">
        <v>89</v>
      </c>
      <c r="J62" s="6" t="s">
        <v>761</v>
      </c>
      <c r="K62" s="11" t="s">
        <v>21</v>
      </c>
      <c r="L62" s="11" t="s">
        <v>762</v>
      </c>
      <c r="M62" s="11" t="s">
        <v>169</v>
      </c>
      <c r="N62" s="11" t="s">
        <v>229</v>
      </c>
      <c r="O62" s="11" t="s">
        <v>171</v>
      </c>
      <c r="P62" s="8" t="s">
        <v>172</v>
      </c>
      <c r="Q62" s="8"/>
      <c r="R62" s="8" t="s">
        <v>172</v>
      </c>
      <c r="S62" s="8"/>
      <c r="T62" s="8"/>
      <c r="U62" s="8"/>
      <c r="V62" s="8"/>
      <c r="W62" s="8" t="str">
        <f aca="false">IF(AND(P62="X",OR(R62="X",S62="X",T62="X")),"Sí","No")</f>
        <v>Sí</v>
      </c>
      <c r="X62" s="8"/>
      <c r="Y62" s="8"/>
      <c r="Z62" s="8"/>
      <c r="AA62" s="8"/>
      <c r="AB62" s="8"/>
      <c r="AC62" s="8"/>
      <c r="AD62" s="8"/>
      <c r="AE62" s="8"/>
      <c r="AF62" s="8"/>
      <c r="AG62" s="8"/>
      <c r="AH62" s="8"/>
      <c r="AI62" s="8"/>
      <c r="AJ62" s="8"/>
      <c r="AK62" s="8"/>
      <c r="AL62" s="8" t="s">
        <v>173</v>
      </c>
      <c r="AM62" s="8" t="s">
        <v>173</v>
      </c>
      <c r="AN62" s="8" t="s">
        <v>173</v>
      </c>
      <c r="AO62" s="6" t="s">
        <v>763</v>
      </c>
      <c r="AP62" s="6" t="s">
        <v>230</v>
      </c>
      <c r="AQ62" s="11" t="s">
        <v>160</v>
      </c>
      <c r="AR62" s="11" t="s">
        <v>764</v>
      </c>
    </row>
    <row r="63" customFormat="false" ht="23.85" hidden="false" customHeight="false" outlineLevel="0" collapsed="false">
      <c r="A63" s="8" t="s">
        <v>765</v>
      </c>
      <c r="B63" s="11" t="s">
        <v>766</v>
      </c>
      <c r="C63" s="8" t="n">
        <v>2025</v>
      </c>
      <c r="D63" s="6" t="s">
        <v>767</v>
      </c>
      <c r="E63" s="11" t="s">
        <v>768</v>
      </c>
      <c r="F63" s="11" t="s">
        <v>165</v>
      </c>
      <c r="G63" s="12" t="s">
        <v>769</v>
      </c>
      <c r="H63" s="13" t="s">
        <v>19</v>
      </c>
      <c r="I63" s="8" t="s">
        <v>68</v>
      </c>
      <c r="J63" s="6" t="s">
        <v>770</v>
      </c>
      <c r="K63" s="11" t="s">
        <v>19</v>
      </c>
      <c r="L63" s="11" t="s">
        <v>217</v>
      </c>
      <c r="M63" s="11" t="s">
        <v>218</v>
      </c>
      <c r="N63" s="11" t="s">
        <v>771</v>
      </c>
      <c r="O63" s="11" t="s">
        <v>194</v>
      </c>
      <c r="P63" s="8"/>
      <c r="Q63" s="8"/>
      <c r="R63" s="8"/>
      <c r="S63" s="8" t="s">
        <v>172</v>
      </c>
      <c r="T63" s="8"/>
      <c r="U63" s="8"/>
      <c r="V63" s="8"/>
      <c r="W63" s="8" t="str">
        <f aca="false">IF(AND(P63="X",OR(R63="X",S63="X",T63="X")),"Sí","No")</f>
        <v>No</v>
      </c>
      <c r="X63" s="8"/>
      <c r="Y63" s="8"/>
      <c r="Z63" s="8"/>
      <c r="AA63" s="8"/>
      <c r="AB63" s="8"/>
      <c r="AC63" s="8"/>
      <c r="AD63" s="8"/>
      <c r="AE63" s="8"/>
      <c r="AF63" s="8"/>
      <c r="AG63" s="8"/>
      <c r="AH63" s="8"/>
      <c r="AI63" s="8"/>
      <c r="AJ63" s="8"/>
      <c r="AK63" s="8"/>
      <c r="AL63" s="8" t="s">
        <v>173</v>
      </c>
      <c r="AM63" s="8" t="s">
        <v>173</v>
      </c>
      <c r="AN63" s="8" t="s">
        <v>173</v>
      </c>
      <c r="AO63" s="6" t="s">
        <v>772</v>
      </c>
      <c r="AP63" s="6" t="s">
        <v>279</v>
      </c>
      <c r="AQ63" s="11" t="s">
        <v>160</v>
      </c>
      <c r="AR63" s="11" t="s">
        <v>773</v>
      </c>
    </row>
    <row r="64" customFormat="false" ht="35.05" hidden="false" customHeight="false" outlineLevel="0" collapsed="false">
      <c r="A64" s="8" t="s">
        <v>774</v>
      </c>
      <c r="B64" s="11" t="s">
        <v>775</v>
      </c>
      <c r="C64" s="8" t="n">
        <v>2024</v>
      </c>
      <c r="D64" s="6" t="s">
        <v>776</v>
      </c>
      <c r="E64" s="11" t="s">
        <v>777</v>
      </c>
      <c r="F64" s="11" t="s">
        <v>165</v>
      </c>
      <c r="G64" s="12" t="s">
        <v>778</v>
      </c>
      <c r="H64" s="13" t="s">
        <v>21</v>
      </c>
      <c r="I64" s="8" t="s">
        <v>89</v>
      </c>
      <c r="J64" s="6" t="s">
        <v>779</v>
      </c>
      <c r="K64" s="11" t="s">
        <v>21</v>
      </c>
      <c r="L64" s="11" t="s">
        <v>762</v>
      </c>
      <c r="M64" s="11" t="s">
        <v>169</v>
      </c>
      <c r="N64" s="11" t="s">
        <v>229</v>
      </c>
      <c r="O64" s="11" t="s">
        <v>171</v>
      </c>
      <c r="P64" s="8" t="s">
        <v>172</v>
      </c>
      <c r="Q64" s="8"/>
      <c r="R64" s="8" t="s">
        <v>172</v>
      </c>
      <c r="S64" s="8"/>
      <c r="T64" s="8"/>
      <c r="U64" s="8"/>
      <c r="V64" s="8"/>
      <c r="W64" s="8" t="str">
        <f aca="false">IF(AND(P64="X",OR(R64="X",S64="X",T64="X")),"Sí","No")</f>
        <v>Sí</v>
      </c>
      <c r="X64" s="8"/>
      <c r="Y64" s="8"/>
      <c r="Z64" s="8"/>
      <c r="AA64" s="8"/>
      <c r="AB64" s="8"/>
      <c r="AC64" s="8"/>
      <c r="AD64" s="8"/>
      <c r="AE64" s="8"/>
      <c r="AF64" s="8"/>
      <c r="AG64" s="8"/>
      <c r="AH64" s="8"/>
      <c r="AI64" s="8"/>
      <c r="AJ64" s="8"/>
      <c r="AK64" s="8"/>
      <c r="AL64" s="8" t="s">
        <v>173</v>
      </c>
      <c r="AM64" s="8" t="s">
        <v>173</v>
      </c>
      <c r="AN64" s="8" t="s">
        <v>173</v>
      </c>
      <c r="AO64" s="6" t="s">
        <v>780</v>
      </c>
      <c r="AP64" s="6" t="s">
        <v>781</v>
      </c>
      <c r="AQ64" s="11" t="s">
        <v>160</v>
      </c>
      <c r="AR64" s="11" t="s">
        <v>782</v>
      </c>
    </row>
    <row r="65" customFormat="false" ht="35.05" hidden="false" customHeight="false" outlineLevel="0" collapsed="false">
      <c r="A65" s="8" t="s">
        <v>783</v>
      </c>
      <c r="B65" s="11" t="s">
        <v>784</v>
      </c>
      <c r="C65" s="8" t="n">
        <v>2023</v>
      </c>
      <c r="D65" s="6" t="s">
        <v>785</v>
      </c>
      <c r="E65" s="11" t="s">
        <v>786</v>
      </c>
      <c r="F65" s="11" t="s">
        <v>214</v>
      </c>
      <c r="G65" s="12" t="s">
        <v>787</v>
      </c>
      <c r="H65" s="13" t="s">
        <v>19</v>
      </c>
      <c r="I65" s="8" t="s">
        <v>68</v>
      </c>
      <c r="J65" s="6" t="s">
        <v>788</v>
      </c>
      <c r="K65" s="11" t="s">
        <v>19</v>
      </c>
      <c r="L65" s="11" t="s">
        <v>789</v>
      </c>
      <c r="M65" s="11" t="s">
        <v>239</v>
      </c>
      <c r="N65" s="11" t="s">
        <v>634</v>
      </c>
      <c r="O65" s="11" t="s">
        <v>300</v>
      </c>
      <c r="P65" s="8"/>
      <c r="Q65" s="8"/>
      <c r="R65" s="8" t="s">
        <v>172</v>
      </c>
      <c r="S65" s="8" t="s">
        <v>172</v>
      </c>
      <c r="T65" s="8"/>
      <c r="U65" s="8"/>
      <c r="V65" s="8"/>
      <c r="W65" s="8" t="str">
        <f aca="false">IF(AND(P65="X",OR(R65="X",S65="X",T65="X")),"Sí","No")</f>
        <v>No</v>
      </c>
      <c r="X65" s="8"/>
      <c r="Y65" s="8"/>
      <c r="Z65" s="8"/>
      <c r="AA65" s="8"/>
      <c r="AB65" s="8"/>
      <c r="AC65" s="8"/>
      <c r="AD65" s="8"/>
      <c r="AE65" s="8" t="s">
        <v>172</v>
      </c>
      <c r="AF65" s="8"/>
      <c r="AG65" s="8"/>
      <c r="AH65" s="8"/>
      <c r="AI65" s="8"/>
      <c r="AJ65" s="8"/>
      <c r="AK65" s="8"/>
      <c r="AL65" s="8" t="s">
        <v>173</v>
      </c>
      <c r="AM65" s="8" t="s">
        <v>173</v>
      </c>
      <c r="AN65" s="8" t="s">
        <v>173</v>
      </c>
      <c r="AO65" s="6" t="s">
        <v>790</v>
      </c>
      <c r="AP65" s="6" t="s">
        <v>791</v>
      </c>
      <c r="AQ65" s="11" t="s">
        <v>160</v>
      </c>
      <c r="AR65" s="11" t="s">
        <v>792</v>
      </c>
    </row>
    <row r="66" customFormat="false" ht="23.85" hidden="false" customHeight="false" outlineLevel="0" collapsed="false">
      <c r="A66" s="8" t="s">
        <v>793</v>
      </c>
      <c r="B66" s="11" t="s">
        <v>794</v>
      </c>
      <c r="C66" s="8" t="n">
        <v>2025</v>
      </c>
      <c r="D66" s="6" t="s">
        <v>795</v>
      </c>
      <c r="E66" s="11" t="s">
        <v>796</v>
      </c>
      <c r="F66" s="11" t="s">
        <v>165</v>
      </c>
      <c r="G66" s="12" t="s">
        <v>797</v>
      </c>
      <c r="H66" s="13" t="s">
        <v>19</v>
      </c>
      <c r="I66" s="8" t="s">
        <v>68</v>
      </c>
      <c r="J66" s="6" t="s">
        <v>798</v>
      </c>
      <c r="K66" s="11" t="s">
        <v>19</v>
      </c>
      <c r="L66" s="11" t="s">
        <v>622</v>
      </c>
      <c r="M66" s="11" t="s">
        <v>447</v>
      </c>
      <c r="N66" s="11" t="s">
        <v>623</v>
      </c>
      <c r="O66" s="11" t="s">
        <v>206</v>
      </c>
      <c r="P66" s="8" t="s">
        <v>172</v>
      </c>
      <c r="Q66" s="8"/>
      <c r="R66" s="8" t="s">
        <v>172</v>
      </c>
      <c r="S66" s="8" t="s">
        <v>172</v>
      </c>
      <c r="T66" s="8"/>
      <c r="U66" s="8"/>
      <c r="V66" s="8" t="s">
        <v>172</v>
      </c>
      <c r="W66" s="8" t="str">
        <f aca="false">IF(AND(P66="X",OR(R66="X",S66="X",T66="X")),"Sí","No")</f>
        <v>Sí</v>
      </c>
      <c r="X66" s="8"/>
      <c r="Y66" s="8"/>
      <c r="Z66" s="8"/>
      <c r="AA66" s="8"/>
      <c r="AB66" s="8"/>
      <c r="AC66" s="8"/>
      <c r="AD66" s="8"/>
      <c r="AE66" s="8"/>
      <c r="AF66" s="8"/>
      <c r="AG66" s="8"/>
      <c r="AH66" s="8"/>
      <c r="AI66" s="8"/>
      <c r="AJ66" s="8"/>
      <c r="AK66" s="8"/>
      <c r="AL66" s="8" t="s">
        <v>173</v>
      </c>
      <c r="AM66" s="8" t="s">
        <v>173</v>
      </c>
      <c r="AN66" s="8" t="s">
        <v>173</v>
      </c>
      <c r="AO66" s="6" t="s">
        <v>624</v>
      </c>
      <c r="AP66" s="6" t="s">
        <v>799</v>
      </c>
      <c r="AQ66" s="11" t="s">
        <v>160</v>
      </c>
      <c r="AR66" s="11" t="s">
        <v>800</v>
      </c>
    </row>
    <row r="67" customFormat="false" ht="23.85" hidden="false" customHeight="false" outlineLevel="0" collapsed="false">
      <c r="A67" s="8" t="s">
        <v>801</v>
      </c>
      <c r="B67" s="11" t="s">
        <v>802</v>
      </c>
      <c r="C67" s="8" t="n">
        <v>2026</v>
      </c>
      <c r="D67" s="6" t="s">
        <v>803</v>
      </c>
      <c r="E67" s="11" t="s">
        <v>804</v>
      </c>
      <c r="F67" s="11" t="s">
        <v>214</v>
      </c>
      <c r="G67" s="12" t="s">
        <v>805</v>
      </c>
      <c r="H67" s="13" t="s">
        <v>19</v>
      </c>
      <c r="I67" s="8" t="s">
        <v>68</v>
      </c>
      <c r="J67" s="6" t="s">
        <v>806</v>
      </c>
      <c r="K67" s="11" t="s">
        <v>19</v>
      </c>
      <c r="L67" s="11" t="s">
        <v>217</v>
      </c>
      <c r="M67" s="11" t="s">
        <v>218</v>
      </c>
      <c r="N67" s="11" t="s">
        <v>807</v>
      </c>
      <c r="O67" s="11" t="s">
        <v>194</v>
      </c>
      <c r="P67" s="8"/>
      <c r="Q67" s="8"/>
      <c r="R67" s="8" t="s">
        <v>172</v>
      </c>
      <c r="S67" s="8" t="s">
        <v>172</v>
      </c>
      <c r="T67" s="8"/>
      <c r="U67" s="8"/>
      <c r="V67" s="8"/>
      <c r="W67" s="8" t="str">
        <f aca="false">IF(AND(P67="X",OR(R67="X",S67="X",T67="X")),"Sí","No")</f>
        <v>No</v>
      </c>
      <c r="X67" s="8"/>
      <c r="Y67" s="8"/>
      <c r="Z67" s="8"/>
      <c r="AA67" s="8"/>
      <c r="AB67" s="8"/>
      <c r="AC67" s="8"/>
      <c r="AD67" s="8"/>
      <c r="AE67" s="8"/>
      <c r="AF67" s="8"/>
      <c r="AG67" s="8"/>
      <c r="AH67" s="8"/>
      <c r="AI67" s="8"/>
      <c r="AJ67" s="8"/>
      <c r="AK67" s="8"/>
      <c r="AL67" s="8" t="s">
        <v>173</v>
      </c>
      <c r="AM67" s="8" t="s">
        <v>173</v>
      </c>
      <c r="AN67" s="8" t="s">
        <v>173</v>
      </c>
      <c r="AO67" s="6" t="s">
        <v>808</v>
      </c>
      <c r="AP67" s="6" t="s">
        <v>809</v>
      </c>
      <c r="AQ67" s="11" t="s">
        <v>160</v>
      </c>
      <c r="AR67" s="11" t="s">
        <v>810</v>
      </c>
    </row>
    <row r="68" customFormat="false" ht="35.05" hidden="false" customHeight="false" outlineLevel="0" collapsed="false">
      <c r="A68" s="8" t="s">
        <v>811</v>
      </c>
      <c r="B68" s="11" t="s">
        <v>812</v>
      </c>
      <c r="C68" s="8" t="n">
        <v>2026</v>
      </c>
      <c r="D68" s="6" t="s">
        <v>813</v>
      </c>
      <c r="E68" s="11" t="s">
        <v>814</v>
      </c>
      <c r="F68" s="11" t="s">
        <v>214</v>
      </c>
      <c r="G68" s="12" t="s">
        <v>815</v>
      </c>
      <c r="H68" s="13" t="s">
        <v>19</v>
      </c>
      <c r="I68" s="8" t="s">
        <v>68</v>
      </c>
      <c r="J68" s="6" t="s">
        <v>816</v>
      </c>
      <c r="K68" s="11" t="s">
        <v>19</v>
      </c>
      <c r="L68" s="11" t="s">
        <v>817</v>
      </c>
      <c r="M68" s="11" t="s">
        <v>184</v>
      </c>
      <c r="N68" s="11" t="s">
        <v>170</v>
      </c>
      <c r="O68" s="11" t="s">
        <v>171</v>
      </c>
      <c r="P68" s="8" t="s">
        <v>172</v>
      </c>
      <c r="Q68" s="8"/>
      <c r="R68" s="8"/>
      <c r="S68" s="8" t="s">
        <v>172</v>
      </c>
      <c r="T68" s="8" t="s">
        <v>172</v>
      </c>
      <c r="U68" s="8"/>
      <c r="V68" s="8"/>
      <c r="W68" s="8" t="str">
        <f aca="false">IF(AND(P68="X",OR(R68="X",S68="X",T68="X")),"Sí","No")</f>
        <v>Sí</v>
      </c>
      <c r="X68" s="8"/>
      <c r="Y68" s="8"/>
      <c r="Z68" s="8"/>
      <c r="AA68" s="8"/>
      <c r="AB68" s="8"/>
      <c r="AC68" s="8"/>
      <c r="AD68" s="8"/>
      <c r="AE68" s="8"/>
      <c r="AF68" s="8"/>
      <c r="AG68" s="8"/>
      <c r="AH68" s="8"/>
      <c r="AI68" s="8"/>
      <c r="AJ68" s="8"/>
      <c r="AK68" s="8"/>
      <c r="AL68" s="8" t="s">
        <v>173</v>
      </c>
      <c r="AM68" s="8" t="s">
        <v>310</v>
      </c>
      <c r="AN68" s="8" t="s">
        <v>173</v>
      </c>
      <c r="AO68" s="6" t="s">
        <v>170</v>
      </c>
      <c r="AP68" s="6" t="s">
        <v>818</v>
      </c>
      <c r="AQ68" s="11" t="s">
        <v>160</v>
      </c>
      <c r="AR68" s="11" t="s">
        <v>819</v>
      </c>
    </row>
    <row r="69" customFormat="false" ht="23.85" hidden="false" customHeight="false" outlineLevel="0" collapsed="false">
      <c r="A69" s="8" t="s">
        <v>820</v>
      </c>
      <c r="B69" s="11" t="s">
        <v>821</v>
      </c>
      <c r="C69" s="8" t="n">
        <v>2025</v>
      </c>
      <c r="D69" s="6" t="s">
        <v>822</v>
      </c>
      <c r="E69" s="11" t="s">
        <v>823</v>
      </c>
      <c r="F69" s="11" t="s">
        <v>165</v>
      </c>
      <c r="G69" s="11"/>
      <c r="H69" s="13" t="s">
        <v>19</v>
      </c>
      <c r="I69" s="8" t="s">
        <v>68</v>
      </c>
      <c r="J69" s="6" t="s">
        <v>824</v>
      </c>
      <c r="K69" s="11" t="s">
        <v>19</v>
      </c>
      <c r="L69" s="11" t="s">
        <v>480</v>
      </c>
      <c r="M69" s="11" t="s">
        <v>184</v>
      </c>
      <c r="N69" s="11" t="s">
        <v>170</v>
      </c>
      <c r="O69" s="11" t="s">
        <v>171</v>
      </c>
      <c r="P69" s="8" t="s">
        <v>172</v>
      </c>
      <c r="Q69" s="8"/>
      <c r="R69" s="8"/>
      <c r="S69" s="8" t="s">
        <v>172</v>
      </c>
      <c r="T69" s="8" t="s">
        <v>172</v>
      </c>
      <c r="U69" s="8"/>
      <c r="V69" s="8"/>
      <c r="W69" s="8" t="str">
        <f aca="false">IF(AND(P69="X",OR(R69="X",S69="X",T69="X")),"Sí","No")</f>
        <v>Sí</v>
      </c>
      <c r="X69" s="8"/>
      <c r="Y69" s="8"/>
      <c r="Z69" s="8"/>
      <c r="AA69" s="8"/>
      <c r="AB69" s="8"/>
      <c r="AC69" s="8"/>
      <c r="AD69" s="8"/>
      <c r="AE69" s="8"/>
      <c r="AF69" s="8"/>
      <c r="AG69" s="8"/>
      <c r="AH69" s="8"/>
      <c r="AI69" s="8"/>
      <c r="AJ69" s="8"/>
      <c r="AK69" s="8"/>
      <c r="AL69" s="8" t="s">
        <v>173</v>
      </c>
      <c r="AM69" s="8" t="s">
        <v>173</v>
      </c>
      <c r="AN69" s="8" t="s">
        <v>173</v>
      </c>
      <c r="AO69" s="6" t="s">
        <v>170</v>
      </c>
      <c r="AP69" s="6" t="s">
        <v>279</v>
      </c>
      <c r="AQ69" s="11" t="s">
        <v>160</v>
      </c>
      <c r="AR69" s="11" t="s">
        <v>825</v>
      </c>
    </row>
    <row r="70" customFormat="false" ht="23.85" hidden="false" customHeight="false" outlineLevel="0" collapsed="false">
      <c r="A70" s="8" t="s">
        <v>826</v>
      </c>
      <c r="B70" s="11" t="s">
        <v>827</v>
      </c>
      <c r="C70" s="8" t="n">
        <v>2027</v>
      </c>
      <c r="D70" s="6" t="s">
        <v>828</v>
      </c>
      <c r="E70" s="11" t="s">
        <v>533</v>
      </c>
      <c r="F70" s="11" t="s">
        <v>165</v>
      </c>
      <c r="G70" s="12" t="s">
        <v>829</v>
      </c>
      <c r="H70" s="13" t="s">
        <v>19</v>
      </c>
      <c r="I70" s="8" t="s">
        <v>68</v>
      </c>
      <c r="J70" s="6" t="s">
        <v>830</v>
      </c>
      <c r="K70" s="11" t="s">
        <v>19</v>
      </c>
      <c r="L70" s="11" t="s">
        <v>480</v>
      </c>
      <c r="M70" s="11" t="s">
        <v>184</v>
      </c>
      <c r="N70" s="11" t="s">
        <v>206</v>
      </c>
      <c r="O70" s="11" t="s">
        <v>206</v>
      </c>
      <c r="P70" s="8"/>
      <c r="Q70" s="8"/>
      <c r="R70" s="8"/>
      <c r="S70" s="8"/>
      <c r="T70" s="8" t="s">
        <v>172</v>
      </c>
      <c r="U70" s="8"/>
      <c r="V70" s="8"/>
      <c r="W70" s="8" t="str">
        <f aca="false">IF(AND(P70="X",OR(R70="X",S70="X",T70="X")),"Sí","No")</f>
        <v>No</v>
      </c>
      <c r="X70" s="8"/>
      <c r="Y70" s="8"/>
      <c r="Z70" s="8"/>
      <c r="AA70" s="8"/>
      <c r="AB70" s="8"/>
      <c r="AC70" s="8"/>
      <c r="AD70" s="8"/>
      <c r="AE70" s="8"/>
      <c r="AF70" s="8"/>
      <c r="AG70" s="8"/>
      <c r="AH70" s="8"/>
      <c r="AI70" s="8"/>
      <c r="AJ70" s="8"/>
      <c r="AK70" s="8"/>
      <c r="AL70" s="8" t="s">
        <v>173</v>
      </c>
      <c r="AM70" s="8" t="s">
        <v>173</v>
      </c>
      <c r="AN70" s="8" t="s">
        <v>173</v>
      </c>
      <c r="AO70" s="6" t="s">
        <v>831</v>
      </c>
      <c r="AP70" s="6" t="s">
        <v>832</v>
      </c>
      <c r="AQ70" s="11" t="s">
        <v>160</v>
      </c>
      <c r="AR70" s="11" t="s">
        <v>833</v>
      </c>
    </row>
    <row r="71" customFormat="false" ht="23.85" hidden="false" customHeight="false" outlineLevel="0" collapsed="false">
      <c r="A71" s="8" t="s">
        <v>834</v>
      </c>
      <c r="B71" s="11" t="s">
        <v>835</v>
      </c>
      <c r="C71" s="8" t="n">
        <v>2026</v>
      </c>
      <c r="D71" s="6" t="s">
        <v>836</v>
      </c>
      <c r="E71" s="11" t="s">
        <v>189</v>
      </c>
      <c r="F71" s="11" t="s">
        <v>165</v>
      </c>
      <c r="G71" s="12" t="s">
        <v>837</v>
      </c>
      <c r="H71" s="13" t="s">
        <v>19</v>
      </c>
      <c r="I71" s="8" t="s">
        <v>68</v>
      </c>
      <c r="J71" s="6" t="s">
        <v>838</v>
      </c>
      <c r="K71" s="11" t="s">
        <v>19</v>
      </c>
      <c r="L71" s="11" t="s">
        <v>839</v>
      </c>
      <c r="M71" s="11" t="s">
        <v>239</v>
      </c>
      <c r="N71" s="11" t="s">
        <v>170</v>
      </c>
      <c r="O71" s="11" t="s">
        <v>171</v>
      </c>
      <c r="P71" s="8" t="s">
        <v>172</v>
      </c>
      <c r="Q71" s="8"/>
      <c r="R71" s="8" t="s">
        <v>172</v>
      </c>
      <c r="S71" s="8"/>
      <c r="T71" s="8"/>
      <c r="U71" s="8"/>
      <c r="V71" s="8" t="s">
        <v>172</v>
      </c>
      <c r="W71" s="8" t="str">
        <f aca="false">IF(AND(P71="X",OR(R71="X",S71="X",T71="X")),"Sí","No")</f>
        <v>Sí</v>
      </c>
      <c r="X71" s="8"/>
      <c r="Y71" s="8"/>
      <c r="Z71" s="8"/>
      <c r="AA71" s="8"/>
      <c r="AB71" s="8"/>
      <c r="AC71" s="8"/>
      <c r="AD71" s="8"/>
      <c r="AE71" s="8"/>
      <c r="AF71" s="8"/>
      <c r="AG71" s="8"/>
      <c r="AH71" s="8"/>
      <c r="AI71" s="8"/>
      <c r="AJ71" s="8"/>
      <c r="AK71" s="8"/>
      <c r="AL71" s="8" t="s">
        <v>173</v>
      </c>
      <c r="AM71" s="8" t="s">
        <v>173</v>
      </c>
      <c r="AN71" s="8" t="s">
        <v>173</v>
      </c>
      <c r="AO71" s="6" t="s">
        <v>840</v>
      </c>
      <c r="AP71" s="6" t="s">
        <v>841</v>
      </c>
      <c r="AQ71" s="11" t="s">
        <v>160</v>
      </c>
      <c r="AR71" s="11" t="s">
        <v>842</v>
      </c>
    </row>
    <row r="72" customFormat="false" ht="35.05" hidden="false" customHeight="false" outlineLevel="0" collapsed="false">
      <c r="A72" s="8" t="s">
        <v>843</v>
      </c>
      <c r="B72" s="11" t="s">
        <v>844</v>
      </c>
      <c r="C72" s="8" t="n">
        <v>2025</v>
      </c>
      <c r="D72" s="6" t="s">
        <v>845</v>
      </c>
      <c r="E72" s="11" t="s">
        <v>846</v>
      </c>
      <c r="F72" s="11" t="s">
        <v>214</v>
      </c>
      <c r="G72" s="12" t="s">
        <v>847</v>
      </c>
      <c r="H72" s="13" t="s">
        <v>19</v>
      </c>
      <c r="I72" s="8" t="s">
        <v>68</v>
      </c>
      <c r="J72" s="6" t="s">
        <v>848</v>
      </c>
      <c r="K72" s="11" t="s">
        <v>19</v>
      </c>
      <c r="L72" s="11" t="s">
        <v>217</v>
      </c>
      <c r="M72" s="11" t="s">
        <v>218</v>
      </c>
      <c r="N72" s="11" t="s">
        <v>206</v>
      </c>
      <c r="O72" s="11" t="s">
        <v>206</v>
      </c>
      <c r="P72" s="8" t="s">
        <v>172</v>
      </c>
      <c r="Q72" s="8" t="s">
        <v>172</v>
      </c>
      <c r="R72" s="8" t="s">
        <v>172</v>
      </c>
      <c r="S72" s="8"/>
      <c r="T72" s="8"/>
      <c r="U72" s="8"/>
      <c r="V72" s="8"/>
      <c r="W72" s="8" t="str">
        <f aca="false">IF(AND(P72="X",OR(R72="X",S72="X",T72="X")),"Sí","No")</f>
        <v>Sí</v>
      </c>
      <c r="X72" s="8" t="s">
        <v>172</v>
      </c>
      <c r="Y72" s="8"/>
      <c r="Z72" s="8"/>
      <c r="AA72" s="8"/>
      <c r="AB72" s="8"/>
      <c r="AC72" s="8"/>
      <c r="AD72" s="8"/>
      <c r="AE72" s="8"/>
      <c r="AF72" s="8"/>
      <c r="AG72" s="8"/>
      <c r="AH72" s="8"/>
      <c r="AI72" s="8"/>
      <c r="AJ72" s="8"/>
      <c r="AK72" s="8"/>
      <c r="AL72" s="8" t="s">
        <v>173</v>
      </c>
      <c r="AM72" s="8" t="s">
        <v>173</v>
      </c>
      <c r="AN72" s="8" t="s">
        <v>173</v>
      </c>
      <c r="AO72" s="6" t="s">
        <v>849</v>
      </c>
      <c r="AP72" s="6" t="s">
        <v>850</v>
      </c>
      <c r="AQ72" s="11" t="s">
        <v>341</v>
      </c>
      <c r="AR72" s="11" t="s">
        <v>851</v>
      </c>
    </row>
    <row r="73" customFormat="false" ht="23.85" hidden="false" customHeight="false" outlineLevel="0" collapsed="false">
      <c r="A73" s="8" t="s">
        <v>852</v>
      </c>
      <c r="B73" s="11" t="s">
        <v>853</v>
      </c>
      <c r="C73" s="8" t="n">
        <v>2025</v>
      </c>
      <c r="D73" s="6" t="s">
        <v>854</v>
      </c>
      <c r="E73" s="11" t="s">
        <v>855</v>
      </c>
      <c r="F73" s="11" t="s">
        <v>165</v>
      </c>
      <c r="G73" s="12" t="s">
        <v>856</v>
      </c>
      <c r="H73" s="13" t="s">
        <v>19</v>
      </c>
      <c r="I73" s="8" t="s">
        <v>68</v>
      </c>
      <c r="J73" s="6" t="s">
        <v>857</v>
      </c>
      <c r="K73" s="11" t="s">
        <v>20</v>
      </c>
      <c r="L73" s="11" t="s">
        <v>858</v>
      </c>
      <c r="M73" s="11" t="s">
        <v>184</v>
      </c>
      <c r="N73" s="11" t="s">
        <v>170</v>
      </c>
      <c r="O73" s="11" t="s">
        <v>171</v>
      </c>
      <c r="P73" s="8"/>
      <c r="Q73" s="8"/>
      <c r="R73" s="8" t="s">
        <v>172</v>
      </c>
      <c r="S73" s="8"/>
      <c r="T73" s="8"/>
      <c r="U73" s="8"/>
      <c r="V73" s="8" t="s">
        <v>172</v>
      </c>
      <c r="W73" s="8" t="str">
        <f aca="false">IF(AND(P73="X",OR(R73="X",S73="X",T73="X")),"Sí","No")</f>
        <v>No</v>
      </c>
      <c r="X73" s="8" t="s">
        <v>172</v>
      </c>
      <c r="Y73" s="8" t="s">
        <v>172</v>
      </c>
      <c r="Z73" s="8" t="s">
        <v>172</v>
      </c>
      <c r="AA73" s="8"/>
      <c r="AB73" s="8"/>
      <c r="AC73" s="8"/>
      <c r="AD73" s="8" t="s">
        <v>172</v>
      </c>
      <c r="AE73" s="8"/>
      <c r="AF73" s="8" t="s">
        <v>172</v>
      </c>
      <c r="AG73" s="8"/>
      <c r="AH73" s="8"/>
      <c r="AI73" s="8"/>
      <c r="AJ73" s="8"/>
      <c r="AK73" s="8"/>
      <c r="AL73" s="8" t="s">
        <v>173</v>
      </c>
      <c r="AM73" s="8" t="s">
        <v>310</v>
      </c>
      <c r="AN73" s="8" t="s">
        <v>173</v>
      </c>
      <c r="AO73" s="6" t="s">
        <v>859</v>
      </c>
      <c r="AP73" s="6" t="s">
        <v>279</v>
      </c>
      <c r="AQ73" s="11" t="s">
        <v>160</v>
      </c>
      <c r="AR73" s="11" t="s">
        <v>860</v>
      </c>
    </row>
    <row r="74" customFormat="false" ht="23.85" hidden="false" customHeight="false" outlineLevel="0" collapsed="false">
      <c r="A74" s="8" t="s">
        <v>861</v>
      </c>
      <c r="B74" s="11" t="s">
        <v>862</v>
      </c>
      <c r="C74" s="8" t="n">
        <v>2025</v>
      </c>
      <c r="D74" s="6" t="s">
        <v>863</v>
      </c>
      <c r="E74" s="11" t="s">
        <v>864</v>
      </c>
      <c r="F74" s="11" t="s">
        <v>214</v>
      </c>
      <c r="G74" s="12" t="s">
        <v>865</v>
      </c>
      <c r="H74" s="13" t="s">
        <v>21</v>
      </c>
      <c r="I74" s="8" t="s">
        <v>89</v>
      </c>
      <c r="J74" s="6" t="s">
        <v>866</v>
      </c>
      <c r="K74" s="11" t="s">
        <v>21</v>
      </c>
      <c r="L74" s="11" t="s">
        <v>238</v>
      </c>
      <c r="M74" s="11" t="s">
        <v>239</v>
      </c>
      <c r="N74" s="11" t="s">
        <v>206</v>
      </c>
      <c r="O74" s="11" t="s">
        <v>206</v>
      </c>
      <c r="P74" s="8"/>
      <c r="Q74" s="8"/>
      <c r="R74" s="8"/>
      <c r="S74" s="8" t="s">
        <v>172</v>
      </c>
      <c r="T74" s="8" t="s">
        <v>172</v>
      </c>
      <c r="U74" s="8"/>
      <c r="V74" s="8"/>
      <c r="W74" s="8" t="str">
        <f aca="false">IF(AND(P74="X",OR(R74="X",S74="X",T74="X")),"Sí","No")</f>
        <v>No</v>
      </c>
      <c r="X74" s="8"/>
      <c r="Y74" s="8"/>
      <c r="Z74" s="8"/>
      <c r="AA74" s="8"/>
      <c r="AB74" s="8"/>
      <c r="AC74" s="8"/>
      <c r="AD74" s="8"/>
      <c r="AE74" s="8"/>
      <c r="AF74" s="8"/>
      <c r="AG74" s="8"/>
      <c r="AH74" s="8"/>
      <c r="AI74" s="8"/>
      <c r="AJ74" s="8"/>
      <c r="AK74" s="8"/>
      <c r="AL74" s="8" t="s">
        <v>173</v>
      </c>
      <c r="AM74" s="8" t="s">
        <v>173</v>
      </c>
      <c r="AN74" s="8" t="s">
        <v>173</v>
      </c>
      <c r="AO74" s="6" t="s">
        <v>867</v>
      </c>
      <c r="AP74" s="6" t="s">
        <v>868</v>
      </c>
      <c r="AQ74" s="11" t="s">
        <v>160</v>
      </c>
      <c r="AR74" s="11" t="s">
        <v>869</v>
      </c>
    </row>
    <row r="75" customFormat="false" ht="23.85" hidden="false" customHeight="false" outlineLevel="0" collapsed="false">
      <c r="A75" s="8" t="s">
        <v>870</v>
      </c>
      <c r="B75" s="11" t="s">
        <v>871</v>
      </c>
      <c r="C75" s="8" t="n">
        <v>2025</v>
      </c>
      <c r="D75" s="6" t="s">
        <v>872</v>
      </c>
      <c r="E75" s="11" t="s">
        <v>533</v>
      </c>
      <c r="F75" s="11" t="s">
        <v>165</v>
      </c>
      <c r="G75" s="12" t="s">
        <v>873</v>
      </c>
      <c r="H75" s="13" t="s">
        <v>19</v>
      </c>
      <c r="I75" s="8" t="s">
        <v>68</v>
      </c>
      <c r="J75" s="6" t="s">
        <v>874</v>
      </c>
      <c r="K75" s="11" t="s">
        <v>19</v>
      </c>
      <c r="L75" s="11" t="s">
        <v>875</v>
      </c>
      <c r="M75" s="11" t="s">
        <v>388</v>
      </c>
      <c r="N75" s="11" t="s">
        <v>170</v>
      </c>
      <c r="O75" s="11" t="s">
        <v>171</v>
      </c>
      <c r="P75" s="8"/>
      <c r="Q75" s="8"/>
      <c r="R75" s="8"/>
      <c r="S75" s="8" t="s">
        <v>172</v>
      </c>
      <c r="T75" s="8" t="s">
        <v>172</v>
      </c>
      <c r="U75" s="8"/>
      <c r="V75" s="8"/>
      <c r="W75" s="8" t="str">
        <f aca="false">IF(AND(P75="X",OR(R75="X",S75="X",T75="X")),"Sí","No")</f>
        <v>No</v>
      </c>
      <c r="X75" s="8"/>
      <c r="Y75" s="8"/>
      <c r="Z75" s="8"/>
      <c r="AA75" s="8"/>
      <c r="AB75" s="8"/>
      <c r="AC75" s="8"/>
      <c r="AD75" s="8"/>
      <c r="AE75" s="8"/>
      <c r="AF75" s="8"/>
      <c r="AG75" s="8"/>
      <c r="AH75" s="8"/>
      <c r="AI75" s="8"/>
      <c r="AJ75" s="8"/>
      <c r="AK75" s="8"/>
      <c r="AL75" s="8" t="s">
        <v>173</v>
      </c>
      <c r="AM75" s="8" t="s">
        <v>173</v>
      </c>
      <c r="AN75" s="8" t="s">
        <v>173</v>
      </c>
      <c r="AO75" s="6" t="s">
        <v>876</v>
      </c>
      <c r="AP75" s="6" t="s">
        <v>330</v>
      </c>
      <c r="AQ75" s="11" t="s">
        <v>160</v>
      </c>
      <c r="AR75" s="11" t="s">
        <v>877</v>
      </c>
    </row>
    <row r="76" customFormat="false" ht="23.85" hidden="false" customHeight="false" outlineLevel="0" collapsed="false">
      <c r="A76" s="8" t="s">
        <v>878</v>
      </c>
      <c r="B76" s="11" t="s">
        <v>879</v>
      </c>
      <c r="C76" s="8" t="n">
        <v>2025</v>
      </c>
      <c r="D76" s="6" t="s">
        <v>880</v>
      </c>
      <c r="E76" s="11" t="s">
        <v>881</v>
      </c>
      <c r="F76" s="11" t="s">
        <v>214</v>
      </c>
      <c r="G76" s="12" t="s">
        <v>882</v>
      </c>
      <c r="H76" s="13" t="s">
        <v>19</v>
      </c>
      <c r="I76" s="8" t="s">
        <v>68</v>
      </c>
      <c r="J76" s="6" t="s">
        <v>883</v>
      </c>
      <c r="K76" s="11" t="s">
        <v>20</v>
      </c>
      <c r="L76" s="11" t="s">
        <v>884</v>
      </c>
      <c r="M76" s="11" t="s">
        <v>205</v>
      </c>
      <c r="N76" s="11" t="s">
        <v>170</v>
      </c>
      <c r="O76" s="11" t="s">
        <v>171</v>
      </c>
      <c r="P76" s="8" t="s">
        <v>172</v>
      </c>
      <c r="Q76" s="8"/>
      <c r="R76" s="8" t="s">
        <v>172</v>
      </c>
      <c r="S76" s="8"/>
      <c r="T76" s="8" t="s">
        <v>172</v>
      </c>
      <c r="U76" s="8"/>
      <c r="V76" s="8"/>
      <c r="W76" s="8" t="str">
        <f aca="false">IF(AND(P76="X",OR(R76="X",S76="X",T76="X")),"Sí","No")</f>
        <v>Sí</v>
      </c>
      <c r="X76" s="8"/>
      <c r="Y76" s="8"/>
      <c r="Z76" s="8"/>
      <c r="AA76" s="8"/>
      <c r="AB76" s="8"/>
      <c r="AC76" s="8"/>
      <c r="AD76" s="8"/>
      <c r="AE76" s="8"/>
      <c r="AF76" s="8"/>
      <c r="AG76" s="8"/>
      <c r="AH76" s="8"/>
      <c r="AI76" s="8"/>
      <c r="AJ76" s="8"/>
      <c r="AK76" s="8"/>
      <c r="AL76" s="8" t="s">
        <v>310</v>
      </c>
      <c r="AM76" s="8" t="s">
        <v>310</v>
      </c>
      <c r="AN76" s="8" t="s">
        <v>173</v>
      </c>
      <c r="AO76" s="6" t="s">
        <v>170</v>
      </c>
      <c r="AP76" s="6" t="s">
        <v>885</v>
      </c>
      <c r="AQ76" s="11" t="s">
        <v>160</v>
      </c>
      <c r="AR76" s="11" t="s">
        <v>886</v>
      </c>
    </row>
    <row r="77" customFormat="false" ht="35.05" hidden="false" customHeight="false" outlineLevel="0" collapsed="false">
      <c r="A77" s="8" t="s">
        <v>887</v>
      </c>
      <c r="B77" s="11" t="s">
        <v>888</v>
      </c>
      <c r="C77" s="8" t="n">
        <v>2025</v>
      </c>
      <c r="D77" s="6" t="s">
        <v>889</v>
      </c>
      <c r="E77" s="11" t="s">
        <v>384</v>
      </c>
      <c r="F77" s="11" t="s">
        <v>214</v>
      </c>
      <c r="G77" s="12" t="s">
        <v>890</v>
      </c>
      <c r="H77" s="13" t="s">
        <v>20</v>
      </c>
      <c r="I77" s="8" t="s">
        <v>71</v>
      </c>
      <c r="J77" s="6" t="s">
        <v>891</v>
      </c>
      <c r="K77" s="11" t="s">
        <v>20</v>
      </c>
      <c r="L77" s="11" t="s">
        <v>217</v>
      </c>
      <c r="M77" s="11" t="s">
        <v>218</v>
      </c>
      <c r="N77" s="11" t="s">
        <v>206</v>
      </c>
      <c r="O77" s="11" t="s">
        <v>206</v>
      </c>
      <c r="P77" s="8"/>
      <c r="Q77" s="8"/>
      <c r="R77" s="8"/>
      <c r="S77" s="8"/>
      <c r="T77" s="8"/>
      <c r="U77" s="8"/>
      <c r="V77" s="8" t="s">
        <v>172</v>
      </c>
      <c r="W77" s="8" t="str">
        <f aca="false">IF(AND(P77="X",OR(R77="X",S77="X",T77="X")),"Sí","No")</f>
        <v>No</v>
      </c>
      <c r="X77" s="8"/>
      <c r="Y77" s="8"/>
      <c r="Z77" s="8"/>
      <c r="AA77" s="8"/>
      <c r="AB77" s="8"/>
      <c r="AC77" s="8"/>
      <c r="AD77" s="8"/>
      <c r="AE77" s="8"/>
      <c r="AF77" s="8"/>
      <c r="AG77" s="8"/>
      <c r="AH77" s="8"/>
      <c r="AI77" s="8"/>
      <c r="AJ77" s="8"/>
      <c r="AK77" s="8"/>
      <c r="AL77" s="8" t="s">
        <v>173</v>
      </c>
      <c r="AM77" s="8" t="s">
        <v>310</v>
      </c>
      <c r="AN77" s="8" t="s">
        <v>173</v>
      </c>
      <c r="AO77" s="6" t="s">
        <v>892</v>
      </c>
      <c r="AP77" s="6" t="s">
        <v>893</v>
      </c>
      <c r="AQ77" s="11" t="s">
        <v>160</v>
      </c>
      <c r="AR77" s="11" t="s">
        <v>894</v>
      </c>
    </row>
    <row r="78" customFormat="false" ht="23.85" hidden="false" customHeight="false" outlineLevel="0" collapsed="false">
      <c r="A78" s="8" t="s">
        <v>895</v>
      </c>
      <c r="B78" s="11" t="s">
        <v>896</v>
      </c>
      <c r="C78" s="8" t="n">
        <v>2025</v>
      </c>
      <c r="D78" s="6" t="s">
        <v>897</v>
      </c>
      <c r="E78" s="11" t="s">
        <v>898</v>
      </c>
      <c r="F78" s="11" t="s">
        <v>165</v>
      </c>
      <c r="G78" s="12" t="s">
        <v>899</v>
      </c>
      <c r="H78" s="13" t="s">
        <v>19</v>
      </c>
      <c r="I78" s="8" t="s">
        <v>68</v>
      </c>
      <c r="J78" s="6" t="s">
        <v>900</v>
      </c>
      <c r="K78" s="11" t="s">
        <v>19</v>
      </c>
      <c r="L78" s="11" t="s">
        <v>839</v>
      </c>
      <c r="M78" s="11" t="s">
        <v>239</v>
      </c>
      <c r="N78" s="11" t="s">
        <v>170</v>
      </c>
      <c r="O78" s="11" t="s">
        <v>171</v>
      </c>
      <c r="P78" s="8" t="s">
        <v>172</v>
      </c>
      <c r="Q78" s="8"/>
      <c r="R78" s="8" t="s">
        <v>172</v>
      </c>
      <c r="S78" s="8"/>
      <c r="T78" s="8"/>
      <c r="U78" s="8"/>
      <c r="V78" s="8" t="s">
        <v>172</v>
      </c>
      <c r="W78" s="8" t="str">
        <f aca="false">IF(AND(P78="X",OR(R78="X",S78="X",T78="X")),"Sí","No")</f>
        <v>Sí</v>
      </c>
      <c r="X78" s="8"/>
      <c r="Y78" s="8"/>
      <c r="Z78" s="8"/>
      <c r="AA78" s="8"/>
      <c r="AB78" s="8"/>
      <c r="AC78" s="8"/>
      <c r="AD78" s="8"/>
      <c r="AE78" s="8"/>
      <c r="AF78" s="8"/>
      <c r="AG78" s="8"/>
      <c r="AH78" s="8"/>
      <c r="AI78" s="8"/>
      <c r="AJ78" s="8"/>
      <c r="AK78" s="8"/>
      <c r="AL78" s="8" t="s">
        <v>173</v>
      </c>
      <c r="AM78" s="8" t="s">
        <v>173</v>
      </c>
      <c r="AN78" s="8" t="s">
        <v>173</v>
      </c>
      <c r="AO78" s="6" t="s">
        <v>840</v>
      </c>
      <c r="AP78" s="6" t="s">
        <v>279</v>
      </c>
      <c r="AQ78" s="11" t="s">
        <v>160</v>
      </c>
      <c r="AR78" s="11" t="s">
        <v>901</v>
      </c>
    </row>
    <row r="79" customFormat="false" ht="35.05" hidden="false" customHeight="false" outlineLevel="0" collapsed="false">
      <c r="A79" s="8" t="s">
        <v>902</v>
      </c>
      <c r="B79" s="11" t="s">
        <v>903</v>
      </c>
      <c r="C79" s="8" t="n">
        <v>2024</v>
      </c>
      <c r="D79" s="6" t="s">
        <v>904</v>
      </c>
      <c r="E79" s="11" t="s">
        <v>804</v>
      </c>
      <c r="F79" s="11" t="s">
        <v>214</v>
      </c>
      <c r="G79" s="12" t="s">
        <v>905</v>
      </c>
      <c r="H79" s="13" t="s">
        <v>19</v>
      </c>
      <c r="I79" s="8" t="s">
        <v>68</v>
      </c>
      <c r="J79" s="6" t="s">
        <v>906</v>
      </c>
      <c r="K79" s="11" t="s">
        <v>19</v>
      </c>
      <c r="L79" s="11" t="s">
        <v>907</v>
      </c>
      <c r="M79" s="11" t="s">
        <v>205</v>
      </c>
      <c r="N79" s="11" t="s">
        <v>908</v>
      </c>
      <c r="O79" s="11" t="s">
        <v>194</v>
      </c>
      <c r="P79" s="8"/>
      <c r="Q79" s="8"/>
      <c r="R79" s="8"/>
      <c r="S79" s="8" t="s">
        <v>172</v>
      </c>
      <c r="T79" s="8"/>
      <c r="U79" s="8"/>
      <c r="V79" s="8"/>
      <c r="W79" s="8" t="str">
        <f aca="false">IF(AND(P79="X",OR(R79="X",S79="X",T79="X")),"Sí","No")</f>
        <v>No</v>
      </c>
      <c r="X79" s="8"/>
      <c r="Y79" s="8"/>
      <c r="Z79" s="8"/>
      <c r="AA79" s="8"/>
      <c r="AB79" s="8"/>
      <c r="AC79" s="8"/>
      <c r="AD79" s="8"/>
      <c r="AE79" s="8"/>
      <c r="AF79" s="8"/>
      <c r="AG79" s="8"/>
      <c r="AH79" s="8"/>
      <c r="AI79" s="8"/>
      <c r="AJ79" s="8"/>
      <c r="AK79" s="8"/>
      <c r="AL79" s="8" t="s">
        <v>173</v>
      </c>
      <c r="AM79" s="8" t="s">
        <v>173</v>
      </c>
      <c r="AN79" s="8" t="s">
        <v>173</v>
      </c>
      <c r="AO79" s="6" t="s">
        <v>909</v>
      </c>
      <c r="AP79" s="6" t="s">
        <v>910</v>
      </c>
      <c r="AQ79" s="11" t="s">
        <v>160</v>
      </c>
      <c r="AR79" s="11" t="s">
        <v>911</v>
      </c>
    </row>
    <row r="80" customFormat="false" ht="23.85" hidden="false" customHeight="false" outlineLevel="0" collapsed="false">
      <c r="A80" s="8" t="s">
        <v>912</v>
      </c>
      <c r="B80" s="11" t="s">
        <v>913</v>
      </c>
      <c r="C80" s="8" t="n">
        <v>2024</v>
      </c>
      <c r="D80" s="6" t="s">
        <v>914</v>
      </c>
      <c r="E80" s="11" t="s">
        <v>487</v>
      </c>
      <c r="F80" s="11" t="s">
        <v>165</v>
      </c>
      <c r="G80" s="12" t="s">
        <v>915</v>
      </c>
      <c r="H80" s="13" t="s">
        <v>20</v>
      </c>
      <c r="I80" s="8" t="s">
        <v>71</v>
      </c>
      <c r="J80" s="6" t="s">
        <v>916</v>
      </c>
      <c r="K80" s="11" t="s">
        <v>20</v>
      </c>
      <c r="L80" s="11" t="s">
        <v>480</v>
      </c>
      <c r="M80" s="11" t="s">
        <v>184</v>
      </c>
      <c r="N80" s="11" t="s">
        <v>206</v>
      </c>
      <c r="O80" s="11" t="s">
        <v>206</v>
      </c>
      <c r="P80" s="8"/>
      <c r="Q80" s="8"/>
      <c r="R80" s="8"/>
      <c r="S80" s="8"/>
      <c r="T80" s="8"/>
      <c r="U80" s="8"/>
      <c r="V80" s="8" t="s">
        <v>172</v>
      </c>
      <c r="W80" s="8" t="str">
        <f aca="false">IF(AND(P80="X",OR(R80="X",S80="X",T80="X")),"Sí","No")</f>
        <v>No</v>
      </c>
      <c r="X80" s="8"/>
      <c r="Y80" s="8"/>
      <c r="Z80" s="8"/>
      <c r="AA80" s="8"/>
      <c r="AB80" s="8"/>
      <c r="AC80" s="8"/>
      <c r="AD80" s="8"/>
      <c r="AE80" s="8"/>
      <c r="AF80" s="8"/>
      <c r="AG80" s="8"/>
      <c r="AH80" s="8"/>
      <c r="AI80" s="8"/>
      <c r="AJ80" s="8"/>
      <c r="AK80" s="8"/>
      <c r="AL80" s="8" t="s">
        <v>173</v>
      </c>
      <c r="AM80" s="8" t="s">
        <v>310</v>
      </c>
      <c r="AN80" s="8" t="s">
        <v>173</v>
      </c>
      <c r="AO80" s="6" t="s">
        <v>917</v>
      </c>
      <c r="AP80" s="6" t="s">
        <v>918</v>
      </c>
      <c r="AQ80" s="11" t="s">
        <v>160</v>
      </c>
      <c r="AR80" s="11" t="s">
        <v>919</v>
      </c>
    </row>
    <row r="81" customFormat="false" ht="35.05" hidden="false" customHeight="false" outlineLevel="0" collapsed="false">
      <c r="A81" s="8" t="s">
        <v>920</v>
      </c>
      <c r="B81" s="11" t="s">
        <v>921</v>
      </c>
      <c r="C81" s="8" t="n">
        <v>2026</v>
      </c>
      <c r="D81" s="6" t="s">
        <v>922</v>
      </c>
      <c r="E81" s="11" t="s">
        <v>804</v>
      </c>
      <c r="F81" s="11" t="s">
        <v>214</v>
      </c>
      <c r="G81" s="12" t="s">
        <v>923</v>
      </c>
      <c r="H81" s="13" t="s">
        <v>19</v>
      </c>
      <c r="I81" s="8" t="s">
        <v>68</v>
      </c>
      <c r="J81" s="6" t="s">
        <v>924</v>
      </c>
      <c r="K81" s="11" t="s">
        <v>19</v>
      </c>
      <c r="L81" s="11" t="s">
        <v>470</v>
      </c>
      <c r="M81" s="11" t="s">
        <v>470</v>
      </c>
      <c r="N81" s="11" t="s">
        <v>206</v>
      </c>
      <c r="O81" s="11" t="s">
        <v>206</v>
      </c>
      <c r="P81" s="8"/>
      <c r="Q81" s="8"/>
      <c r="R81" s="8"/>
      <c r="S81" s="8" t="s">
        <v>172</v>
      </c>
      <c r="T81" s="8"/>
      <c r="U81" s="8"/>
      <c r="V81" s="8"/>
      <c r="W81" s="8" t="str">
        <f aca="false">IF(AND(P81="X",OR(R81="X",S81="X",T81="X")),"Sí","No")</f>
        <v>No</v>
      </c>
      <c r="X81" s="8"/>
      <c r="Y81" s="8"/>
      <c r="Z81" s="8"/>
      <c r="AA81" s="8"/>
      <c r="AB81" s="8"/>
      <c r="AC81" s="8"/>
      <c r="AD81" s="8"/>
      <c r="AE81" s="8"/>
      <c r="AF81" s="8"/>
      <c r="AG81" s="8"/>
      <c r="AH81" s="8"/>
      <c r="AI81" s="8"/>
      <c r="AJ81" s="8"/>
      <c r="AK81" s="8"/>
      <c r="AL81" s="8" t="s">
        <v>173</v>
      </c>
      <c r="AM81" s="8" t="s">
        <v>173</v>
      </c>
      <c r="AN81" s="8" t="s">
        <v>173</v>
      </c>
      <c r="AO81" s="6" t="s">
        <v>925</v>
      </c>
      <c r="AP81" s="6" t="s">
        <v>926</v>
      </c>
      <c r="AQ81" s="11" t="s">
        <v>160</v>
      </c>
      <c r="AR81" s="11" t="s">
        <v>927</v>
      </c>
    </row>
    <row r="82" customFormat="false" ht="23.85" hidden="false" customHeight="false" outlineLevel="0" collapsed="false">
      <c r="A82" s="8" t="s">
        <v>928</v>
      </c>
      <c r="B82" s="11" t="s">
        <v>929</v>
      </c>
      <c r="C82" s="8" t="n">
        <v>2026</v>
      </c>
      <c r="D82" s="6" t="s">
        <v>930</v>
      </c>
      <c r="E82" s="11" t="s">
        <v>931</v>
      </c>
      <c r="F82" s="11" t="s">
        <v>214</v>
      </c>
      <c r="G82" s="12" t="s">
        <v>932</v>
      </c>
      <c r="H82" s="13" t="s">
        <v>19</v>
      </c>
      <c r="I82" s="8" t="s">
        <v>68</v>
      </c>
      <c r="J82" s="6" t="s">
        <v>933</v>
      </c>
      <c r="K82" s="11" t="s">
        <v>19</v>
      </c>
      <c r="L82" s="11" t="s">
        <v>217</v>
      </c>
      <c r="M82" s="11" t="s">
        <v>218</v>
      </c>
      <c r="N82" s="11" t="s">
        <v>934</v>
      </c>
      <c r="O82" s="11" t="s">
        <v>194</v>
      </c>
      <c r="P82" s="8"/>
      <c r="Q82" s="8"/>
      <c r="R82" s="8"/>
      <c r="S82" s="8" t="s">
        <v>172</v>
      </c>
      <c r="T82" s="8" t="s">
        <v>172</v>
      </c>
      <c r="U82" s="8"/>
      <c r="V82" s="8"/>
      <c r="W82" s="8" t="str">
        <f aca="false">IF(AND(P82="X",OR(R82="X",S82="X",T82="X")),"Sí","No")</f>
        <v>No</v>
      </c>
      <c r="X82" s="8" t="s">
        <v>172</v>
      </c>
      <c r="Y82" s="8"/>
      <c r="Z82" s="8"/>
      <c r="AA82" s="8"/>
      <c r="AB82" s="8" t="s">
        <v>172</v>
      </c>
      <c r="AC82" s="8"/>
      <c r="AD82" s="8" t="s">
        <v>172</v>
      </c>
      <c r="AE82" s="8" t="s">
        <v>172</v>
      </c>
      <c r="AF82" s="8"/>
      <c r="AG82" s="8"/>
      <c r="AH82" s="8"/>
      <c r="AI82" s="8"/>
      <c r="AJ82" s="8"/>
      <c r="AK82" s="8"/>
      <c r="AL82" s="8" t="s">
        <v>173</v>
      </c>
      <c r="AM82" s="8" t="s">
        <v>310</v>
      </c>
      <c r="AN82" s="8" t="s">
        <v>173</v>
      </c>
      <c r="AO82" s="6" t="s">
        <v>935</v>
      </c>
      <c r="AP82" s="6" t="s">
        <v>936</v>
      </c>
      <c r="AQ82" s="11" t="s">
        <v>341</v>
      </c>
      <c r="AR82" s="11" t="s">
        <v>937</v>
      </c>
    </row>
    <row r="83" customFormat="false" ht="23.85" hidden="false" customHeight="false" outlineLevel="0" collapsed="false">
      <c r="A83" s="8" t="s">
        <v>938</v>
      </c>
      <c r="B83" s="11" t="s">
        <v>939</v>
      </c>
      <c r="C83" s="8" t="n">
        <v>2025</v>
      </c>
      <c r="D83" s="6" t="s">
        <v>940</v>
      </c>
      <c r="E83" s="11" t="s">
        <v>941</v>
      </c>
      <c r="F83" s="11" t="s">
        <v>165</v>
      </c>
      <c r="G83" s="12" t="s">
        <v>942</v>
      </c>
      <c r="H83" s="13" t="s">
        <v>21</v>
      </c>
      <c r="I83" s="8" t="s">
        <v>89</v>
      </c>
      <c r="J83" s="6" t="s">
        <v>943</v>
      </c>
      <c r="K83" s="11" t="s">
        <v>21</v>
      </c>
      <c r="L83" s="11" t="s">
        <v>944</v>
      </c>
      <c r="M83" s="11" t="s">
        <v>169</v>
      </c>
      <c r="N83" s="11" t="s">
        <v>229</v>
      </c>
      <c r="O83" s="11" t="s">
        <v>171</v>
      </c>
      <c r="P83" s="8"/>
      <c r="Q83" s="8"/>
      <c r="R83" s="8" t="s">
        <v>172</v>
      </c>
      <c r="S83" s="8"/>
      <c r="T83" s="8"/>
      <c r="U83" s="8"/>
      <c r="V83" s="8"/>
      <c r="W83" s="8" t="str">
        <f aca="false">IF(AND(P83="X",OR(R83="X",S83="X",T83="X")),"Sí","No")</f>
        <v>No</v>
      </c>
      <c r="X83" s="8"/>
      <c r="Y83" s="8"/>
      <c r="Z83" s="8"/>
      <c r="AA83" s="8"/>
      <c r="AB83" s="8"/>
      <c r="AC83" s="8"/>
      <c r="AD83" s="8"/>
      <c r="AE83" s="8"/>
      <c r="AF83" s="8"/>
      <c r="AG83" s="8"/>
      <c r="AH83" s="8"/>
      <c r="AI83" s="8"/>
      <c r="AJ83" s="8"/>
      <c r="AK83" s="8"/>
      <c r="AL83" s="8" t="s">
        <v>173</v>
      </c>
      <c r="AM83" s="8" t="s">
        <v>173</v>
      </c>
      <c r="AN83" s="8" t="s">
        <v>173</v>
      </c>
      <c r="AO83" s="6" t="s">
        <v>230</v>
      </c>
      <c r="AP83" s="6" t="s">
        <v>945</v>
      </c>
      <c r="AQ83" s="11" t="s">
        <v>160</v>
      </c>
      <c r="AR83" s="11" t="s">
        <v>946</v>
      </c>
    </row>
    <row r="84" customFormat="false" ht="23.85" hidden="false" customHeight="false" outlineLevel="0" collapsed="false">
      <c r="A84" s="8" t="s">
        <v>947</v>
      </c>
      <c r="B84" s="11" t="s">
        <v>948</v>
      </c>
      <c r="C84" s="8" t="n">
        <v>2022</v>
      </c>
      <c r="D84" s="6" t="s">
        <v>949</v>
      </c>
      <c r="E84" s="11" t="s">
        <v>487</v>
      </c>
      <c r="F84" s="11" t="s">
        <v>165</v>
      </c>
      <c r="G84" s="12" t="s">
        <v>950</v>
      </c>
      <c r="H84" s="13" t="s">
        <v>19</v>
      </c>
      <c r="I84" s="8" t="s">
        <v>68</v>
      </c>
      <c r="J84" s="6" t="s">
        <v>951</v>
      </c>
      <c r="K84" s="11" t="s">
        <v>19</v>
      </c>
      <c r="L84" s="11" t="s">
        <v>238</v>
      </c>
      <c r="M84" s="11" t="s">
        <v>239</v>
      </c>
      <c r="N84" s="11" t="s">
        <v>771</v>
      </c>
      <c r="O84" s="11" t="s">
        <v>194</v>
      </c>
      <c r="P84" s="8"/>
      <c r="Q84" s="8"/>
      <c r="R84" s="8" t="s">
        <v>172</v>
      </c>
      <c r="S84" s="8"/>
      <c r="T84" s="8"/>
      <c r="U84" s="8"/>
      <c r="V84" s="8" t="s">
        <v>172</v>
      </c>
      <c r="W84" s="8" t="str">
        <f aca="false">IF(AND(P84="X",OR(R84="X",S84="X",T84="X")),"Sí","No")</f>
        <v>No</v>
      </c>
      <c r="X84" s="8"/>
      <c r="Y84" s="8"/>
      <c r="Z84" s="8"/>
      <c r="AA84" s="8"/>
      <c r="AB84" s="8"/>
      <c r="AC84" s="8"/>
      <c r="AD84" s="8"/>
      <c r="AE84" s="8"/>
      <c r="AF84" s="8"/>
      <c r="AG84" s="8"/>
      <c r="AH84" s="8"/>
      <c r="AI84" s="8"/>
      <c r="AJ84" s="8"/>
      <c r="AK84" s="8"/>
      <c r="AL84" s="8" t="s">
        <v>173</v>
      </c>
      <c r="AM84" s="8" t="s">
        <v>173</v>
      </c>
      <c r="AN84" s="8" t="s">
        <v>173</v>
      </c>
      <c r="AO84" s="6" t="s">
        <v>952</v>
      </c>
      <c r="AP84" s="6" t="s">
        <v>953</v>
      </c>
      <c r="AQ84" s="11" t="s">
        <v>160</v>
      </c>
      <c r="AR84" s="11" t="s">
        <v>954</v>
      </c>
    </row>
    <row r="85" customFormat="false" ht="23.85" hidden="false" customHeight="false" outlineLevel="0" collapsed="false">
      <c r="A85" s="8" t="s">
        <v>955</v>
      </c>
      <c r="B85" s="11" t="s">
        <v>956</v>
      </c>
      <c r="C85" s="8" t="n">
        <v>2025</v>
      </c>
      <c r="D85" s="6" t="s">
        <v>957</v>
      </c>
      <c r="E85" s="11" t="s">
        <v>958</v>
      </c>
      <c r="F85" s="11" t="s">
        <v>165</v>
      </c>
      <c r="G85" s="12" t="s">
        <v>959</v>
      </c>
      <c r="H85" s="13" t="s">
        <v>19</v>
      </c>
      <c r="I85" s="8" t="s">
        <v>68</v>
      </c>
      <c r="J85" s="6" t="s">
        <v>960</v>
      </c>
      <c r="K85" s="11" t="s">
        <v>19</v>
      </c>
      <c r="L85" s="11" t="s">
        <v>961</v>
      </c>
      <c r="M85" s="11" t="s">
        <v>388</v>
      </c>
      <c r="N85" s="11" t="s">
        <v>206</v>
      </c>
      <c r="O85" s="11" t="s">
        <v>206</v>
      </c>
      <c r="P85" s="8"/>
      <c r="Q85" s="8"/>
      <c r="R85" s="8" t="s">
        <v>172</v>
      </c>
      <c r="S85" s="8" t="s">
        <v>172</v>
      </c>
      <c r="T85" s="8"/>
      <c r="U85" s="8"/>
      <c r="V85" s="8"/>
      <c r="W85" s="8" t="str">
        <f aca="false">IF(AND(P85="X",OR(R85="X",S85="X",T85="X")),"Sí","No")</f>
        <v>No</v>
      </c>
      <c r="X85" s="8"/>
      <c r="Y85" s="8"/>
      <c r="Z85" s="8"/>
      <c r="AA85" s="8"/>
      <c r="AB85" s="8"/>
      <c r="AC85" s="8"/>
      <c r="AD85" s="8"/>
      <c r="AE85" s="8"/>
      <c r="AF85" s="8"/>
      <c r="AG85" s="8"/>
      <c r="AH85" s="8"/>
      <c r="AI85" s="8"/>
      <c r="AJ85" s="8"/>
      <c r="AK85" s="8"/>
      <c r="AL85" s="8" t="s">
        <v>173</v>
      </c>
      <c r="AM85" s="8" t="s">
        <v>173</v>
      </c>
      <c r="AN85" s="8" t="s">
        <v>173</v>
      </c>
      <c r="AO85" s="6" t="s">
        <v>962</v>
      </c>
      <c r="AP85" s="6" t="s">
        <v>963</v>
      </c>
      <c r="AQ85" s="11" t="s">
        <v>160</v>
      </c>
      <c r="AR85" s="11" t="s">
        <v>964</v>
      </c>
    </row>
    <row r="86" customFormat="false" ht="23.85" hidden="false" customHeight="false" outlineLevel="0" collapsed="false">
      <c r="A86" s="8" t="s">
        <v>965</v>
      </c>
      <c r="B86" s="11" t="s">
        <v>966</v>
      </c>
      <c r="C86" s="8" t="n">
        <v>2026</v>
      </c>
      <c r="D86" s="6" t="s">
        <v>967</v>
      </c>
      <c r="E86" s="11" t="s">
        <v>189</v>
      </c>
      <c r="F86" s="11" t="s">
        <v>165</v>
      </c>
      <c r="G86" s="12" t="s">
        <v>968</v>
      </c>
      <c r="H86" s="13" t="s">
        <v>19</v>
      </c>
      <c r="I86" s="8" t="s">
        <v>68</v>
      </c>
      <c r="J86" s="6" t="s">
        <v>969</v>
      </c>
      <c r="K86" s="11" t="s">
        <v>19</v>
      </c>
      <c r="L86" s="11" t="s">
        <v>970</v>
      </c>
      <c r="M86" s="11" t="s">
        <v>184</v>
      </c>
      <c r="N86" s="11" t="s">
        <v>206</v>
      </c>
      <c r="O86" s="11" t="s">
        <v>206</v>
      </c>
      <c r="P86" s="8"/>
      <c r="Q86" s="8"/>
      <c r="R86" s="8"/>
      <c r="S86" s="8" t="s">
        <v>172</v>
      </c>
      <c r="T86" s="8"/>
      <c r="U86" s="8"/>
      <c r="V86" s="8"/>
      <c r="W86" s="8" t="str">
        <f aca="false">IF(AND(P86="X",OR(R86="X",S86="X",T86="X")),"Sí","No")</f>
        <v>No</v>
      </c>
      <c r="X86" s="8"/>
      <c r="Y86" s="8"/>
      <c r="Z86" s="8"/>
      <c r="AA86" s="8"/>
      <c r="AB86" s="8"/>
      <c r="AC86" s="8"/>
      <c r="AD86" s="8"/>
      <c r="AE86" s="8"/>
      <c r="AF86" s="8"/>
      <c r="AG86" s="8"/>
      <c r="AH86" s="8"/>
      <c r="AI86" s="8"/>
      <c r="AJ86" s="8"/>
      <c r="AK86" s="8"/>
      <c r="AL86" s="8" t="s">
        <v>173</v>
      </c>
      <c r="AM86" s="8" t="s">
        <v>173</v>
      </c>
      <c r="AN86" s="8" t="s">
        <v>173</v>
      </c>
      <c r="AO86" s="6" t="s">
        <v>971</v>
      </c>
      <c r="AP86" s="6" t="s">
        <v>972</v>
      </c>
      <c r="AQ86" s="11" t="s">
        <v>160</v>
      </c>
      <c r="AR86" s="11" t="s">
        <v>973</v>
      </c>
    </row>
    <row r="87" customFormat="false" ht="23.85" hidden="false" customHeight="false" outlineLevel="0" collapsed="false">
      <c r="A87" s="8" t="s">
        <v>974</v>
      </c>
      <c r="B87" s="11" t="s">
        <v>975</v>
      </c>
      <c r="C87" s="8" t="n">
        <v>2024</v>
      </c>
      <c r="D87" s="6" t="s">
        <v>976</v>
      </c>
      <c r="E87" s="11" t="s">
        <v>977</v>
      </c>
      <c r="F87" s="11" t="s">
        <v>165</v>
      </c>
      <c r="G87" s="12" t="s">
        <v>978</v>
      </c>
      <c r="H87" s="13" t="s">
        <v>19</v>
      </c>
      <c r="I87" s="8" t="s">
        <v>68</v>
      </c>
      <c r="J87" s="6" t="s">
        <v>979</v>
      </c>
      <c r="K87" s="11" t="s">
        <v>19</v>
      </c>
      <c r="L87" s="11" t="s">
        <v>980</v>
      </c>
      <c r="M87" s="11" t="s">
        <v>251</v>
      </c>
      <c r="N87" s="11" t="s">
        <v>229</v>
      </c>
      <c r="O87" s="11" t="s">
        <v>171</v>
      </c>
      <c r="P87" s="8"/>
      <c r="Q87" s="8"/>
      <c r="R87" s="8" t="s">
        <v>172</v>
      </c>
      <c r="S87" s="8"/>
      <c r="T87" s="8"/>
      <c r="U87" s="8"/>
      <c r="V87" s="8" t="s">
        <v>172</v>
      </c>
      <c r="W87" s="8" t="str">
        <f aca="false">IF(AND(P87="X",OR(R87="X",S87="X",T87="X")),"Sí","No")</f>
        <v>No</v>
      </c>
      <c r="X87" s="8"/>
      <c r="Y87" s="8"/>
      <c r="Z87" s="8"/>
      <c r="AA87" s="8"/>
      <c r="AB87" s="8"/>
      <c r="AC87" s="8"/>
      <c r="AD87" s="8"/>
      <c r="AE87" s="8"/>
      <c r="AF87" s="8"/>
      <c r="AG87" s="8" t="s">
        <v>172</v>
      </c>
      <c r="AH87" s="8"/>
      <c r="AI87" s="8"/>
      <c r="AJ87" s="8"/>
      <c r="AK87" s="8"/>
      <c r="AL87" s="8" t="s">
        <v>173</v>
      </c>
      <c r="AM87" s="8" t="s">
        <v>173</v>
      </c>
      <c r="AN87" s="8" t="s">
        <v>173</v>
      </c>
      <c r="AO87" s="6" t="s">
        <v>981</v>
      </c>
      <c r="AP87" s="6" t="s">
        <v>982</v>
      </c>
      <c r="AQ87" s="11" t="s">
        <v>160</v>
      </c>
      <c r="AR87" s="11" t="s">
        <v>983</v>
      </c>
    </row>
    <row r="88" customFormat="false" ht="23.85" hidden="false" customHeight="false" outlineLevel="0" collapsed="false">
      <c r="A88" s="8" t="s">
        <v>984</v>
      </c>
      <c r="B88" s="11" t="s">
        <v>985</v>
      </c>
      <c r="C88" s="8" t="n">
        <v>2022</v>
      </c>
      <c r="D88" s="6" t="s">
        <v>986</v>
      </c>
      <c r="E88" s="11" t="s">
        <v>987</v>
      </c>
      <c r="F88" s="11" t="s">
        <v>165</v>
      </c>
      <c r="G88" s="12" t="s">
        <v>988</v>
      </c>
      <c r="H88" s="13" t="s">
        <v>19</v>
      </c>
      <c r="I88" s="8" t="s">
        <v>68</v>
      </c>
      <c r="J88" s="6" t="s">
        <v>989</v>
      </c>
      <c r="K88" s="11" t="s">
        <v>19</v>
      </c>
      <c r="L88" s="11" t="s">
        <v>480</v>
      </c>
      <c r="M88" s="11" t="s">
        <v>184</v>
      </c>
      <c r="N88" s="11" t="s">
        <v>206</v>
      </c>
      <c r="O88" s="11" t="s">
        <v>206</v>
      </c>
      <c r="P88" s="8"/>
      <c r="Q88" s="8"/>
      <c r="R88" s="8"/>
      <c r="S88" s="8" t="s">
        <v>172</v>
      </c>
      <c r="T88" s="8"/>
      <c r="U88" s="8"/>
      <c r="V88" s="8"/>
      <c r="W88" s="8" t="str">
        <f aca="false">IF(AND(P88="X",OR(R88="X",S88="X",T88="X")),"Sí","No")</f>
        <v>No</v>
      </c>
      <c r="X88" s="8"/>
      <c r="Y88" s="8"/>
      <c r="Z88" s="8"/>
      <c r="AA88" s="8"/>
      <c r="AB88" s="8"/>
      <c r="AC88" s="8"/>
      <c r="AD88" s="8"/>
      <c r="AE88" s="8"/>
      <c r="AF88" s="8"/>
      <c r="AG88" s="8"/>
      <c r="AH88" s="8"/>
      <c r="AI88" s="8"/>
      <c r="AJ88" s="8"/>
      <c r="AK88" s="8"/>
      <c r="AL88" s="8" t="s">
        <v>173</v>
      </c>
      <c r="AM88" s="8" t="s">
        <v>173</v>
      </c>
      <c r="AN88" s="8" t="s">
        <v>173</v>
      </c>
      <c r="AO88" s="6" t="s">
        <v>990</v>
      </c>
      <c r="AP88" s="6" t="s">
        <v>991</v>
      </c>
      <c r="AQ88" s="11" t="s">
        <v>160</v>
      </c>
      <c r="AR88" s="11" t="s">
        <v>992</v>
      </c>
    </row>
    <row r="89" customFormat="false" ht="35.05" hidden="false" customHeight="false" outlineLevel="0" collapsed="false">
      <c r="A89" s="8" t="s">
        <v>993</v>
      </c>
      <c r="B89" s="11" t="s">
        <v>994</v>
      </c>
      <c r="C89" s="8" t="n">
        <v>2025</v>
      </c>
      <c r="D89" s="6" t="s">
        <v>995</v>
      </c>
      <c r="E89" s="11" t="s">
        <v>996</v>
      </c>
      <c r="F89" s="11" t="s">
        <v>165</v>
      </c>
      <c r="G89" s="12" t="s">
        <v>997</v>
      </c>
      <c r="H89" s="13" t="s">
        <v>19</v>
      </c>
      <c r="I89" s="8" t="s">
        <v>68</v>
      </c>
      <c r="J89" s="6" t="s">
        <v>998</v>
      </c>
      <c r="K89" s="11" t="s">
        <v>20</v>
      </c>
      <c r="L89" s="11" t="s">
        <v>999</v>
      </c>
      <c r="M89" s="11" t="s">
        <v>298</v>
      </c>
      <c r="N89" s="11" t="s">
        <v>170</v>
      </c>
      <c r="O89" s="11" t="s">
        <v>171</v>
      </c>
      <c r="P89" s="8" t="s">
        <v>172</v>
      </c>
      <c r="Q89" s="8"/>
      <c r="R89" s="8"/>
      <c r="S89" s="8" t="s">
        <v>172</v>
      </c>
      <c r="T89" s="8" t="s">
        <v>172</v>
      </c>
      <c r="U89" s="8"/>
      <c r="V89" s="8"/>
      <c r="W89" s="8" t="str">
        <f aca="false">IF(AND(P89="X",OR(R89="X",S89="X",T89="X")),"Sí","No")</f>
        <v>Sí</v>
      </c>
      <c r="X89" s="8"/>
      <c r="Y89" s="8"/>
      <c r="Z89" s="8"/>
      <c r="AA89" s="8"/>
      <c r="AB89" s="8"/>
      <c r="AC89" s="8"/>
      <c r="AD89" s="8"/>
      <c r="AE89" s="8"/>
      <c r="AF89" s="8"/>
      <c r="AG89" s="8"/>
      <c r="AH89" s="8"/>
      <c r="AI89" s="8"/>
      <c r="AJ89" s="8"/>
      <c r="AK89" s="8"/>
      <c r="AL89" s="8" t="s">
        <v>173</v>
      </c>
      <c r="AM89" s="8" t="s">
        <v>173</v>
      </c>
      <c r="AN89" s="8" t="s">
        <v>173</v>
      </c>
      <c r="AO89" s="6" t="s">
        <v>170</v>
      </c>
      <c r="AP89" s="6" t="s">
        <v>1000</v>
      </c>
      <c r="AQ89" s="11" t="s">
        <v>160</v>
      </c>
      <c r="AR89" s="11" t="s">
        <v>1001</v>
      </c>
    </row>
    <row r="90" customFormat="false" ht="23.85" hidden="false" customHeight="false" outlineLevel="0" collapsed="false">
      <c r="A90" s="8" t="s">
        <v>1002</v>
      </c>
      <c r="B90" s="11" t="s">
        <v>1003</v>
      </c>
      <c r="C90" s="8" t="n">
        <v>2024</v>
      </c>
      <c r="D90" s="6" t="s">
        <v>1004</v>
      </c>
      <c r="E90" s="11" t="s">
        <v>1005</v>
      </c>
      <c r="F90" s="11" t="s">
        <v>165</v>
      </c>
      <c r="G90" s="12" t="s">
        <v>1006</v>
      </c>
      <c r="H90" s="13" t="s">
        <v>19</v>
      </c>
      <c r="I90" s="8" t="s">
        <v>68</v>
      </c>
      <c r="J90" s="6" t="s">
        <v>1007</v>
      </c>
      <c r="K90" s="11" t="s">
        <v>19</v>
      </c>
      <c r="L90" s="11" t="s">
        <v>217</v>
      </c>
      <c r="M90" s="11" t="s">
        <v>218</v>
      </c>
      <c r="N90" s="11" t="s">
        <v>934</v>
      </c>
      <c r="O90" s="11" t="s">
        <v>194</v>
      </c>
      <c r="P90" s="8" t="s">
        <v>172</v>
      </c>
      <c r="Q90" s="8" t="s">
        <v>172</v>
      </c>
      <c r="R90" s="8"/>
      <c r="S90" s="8"/>
      <c r="T90" s="8"/>
      <c r="U90" s="8"/>
      <c r="V90" s="8" t="s">
        <v>172</v>
      </c>
      <c r="W90" s="8" t="str">
        <f aca="false">IF(AND(P90="X",OR(R90="X",S90="X",T90="X")),"Sí","No")</f>
        <v>No</v>
      </c>
      <c r="X90" s="8" t="s">
        <v>172</v>
      </c>
      <c r="Y90" s="8" t="s">
        <v>172</v>
      </c>
      <c r="Z90" s="8" t="s">
        <v>172</v>
      </c>
      <c r="AA90" s="8"/>
      <c r="AB90" s="8"/>
      <c r="AC90" s="8"/>
      <c r="AD90" s="8" t="s">
        <v>172</v>
      </c>
      <c r="AE90" s="8"/>
      <c r="AF90" s="8"/>
      <c r="AG90" s="8" t="s">
        <v>172</v>
      </c>
      <c r="AH90" s="8"/>
      <c r="AI90" s="8"/>
      <c r="AJ90" s="8"/>
      <c r="AK90" s="8"/>
      <c r="AL90" s="8" t="s">
        <v>173</v>
      </c>
      <c r="AM90" s="8" t="s">
        <v>173</v>
      </c>
      <c r="AN90" s="8" t="s">
        <v>173</v>
      </c>
      <c r="AO90" s="6" t="s">
        <v>1008</v>
      </c>
      <c r="AP90" s="6" t="s">
        <v>1009</v>
      </c>
      <c r="AQ90" s="11" t="s">
        <v>160</v>
      </c>
      <c r="AR90" s="11" t="s">
        <v>1010</v>
      </c>
    </row>
    <row r="91" customFormat="false" ht="46.25" hidden="false" customHeight="false" outlineLevel="0" collapsed="false">
      <c r="A91" s="8" t="s">
        <v>1011</v>
      </c>
      <c r="B91" s="11" t="s">
        <v>1012</v>
      </c>
      <c r="C91" s="8" t="n">
        <v>2026</v>
      </c>
      <c r="D91" s="6" t="s">
        <v>1013</v>
      </c>
      <c r="E91" s="11" t="s">
        <v>444</v>
      </c>
      <c r="F91" s="11" t="s">
        <v>165</v>
      </c>
      <c r="G91" s="12" t="s">
        <v>1014</v>
      </c>
      <c r="H91" s="13" t="s">
        <v>19</v>
      </c>
      <c r="I91" s="8" t="s">
        <v>68</v>
      </c>
      <c r="J91" s="6" t="s">
        <v>1015</v>
      </c>
      <c r="K91" s="11" t="s">
        <v>19</v>
      </c>
      <c r="L91" s="11" t="s">
        <v>409</v>
      </c>
      <c r="M91" s="11" t="s">
        <v>205</v>
      </c>
      <c r="N91" s="11" t="s">
        <v>206</v>
      </c>
      <c r="O91" s="11" t="s">
        <v>206</v>
      </c>
      <c r="P91" s="8" t="s">
        <v>172</v>
      </c>
      <c r="Q91" s="8"/>
      <c r="R91" s="8" t="s">
        <v>172</v>
      </c>
      <c r="S91" s="8"/>
      <c r="T91" s="8"/>
      <c r="U91" s="8"/>
      <c r="V91" s="8" t="s">
        <v>172</v>
      </c>
      <c r="W91" s="8" t="str">
        <f aca="false">IF(AND(P91="X",OR(R91="X",S91="X",T91="X")),"Sí","No")</f>
        <v>Sí</v>
      </c>
      <c r="X91" s="8"/>
      <c r="Y91" s="8"/>
      <c r="Z91" s="8"/>
      <c r="AA91" s="8"/>
      <c r="AB91" s="8"/>
      <c r="AC91" s="8"/>
      <c r="AD91" s="8"/>
      <c r="AE91" s="8"/>
      <c r="AF91" s="8"/>
      <c r="AG91" s="8" t="s">
        <v>172</v>
      </c>
      <c r="AH91" s="8"/>
      <c r="AI91" s="8"/>
      <c r="AJ91" s="8"/>
      <c r="AK91" s="8"/>
      <c r="AL91" s="8" t="s">
        <v>310</v>
      </c>
      <c r="AM91" s="8" t="s">
        <v>310</v>
      </c>
      <c r="AN91" s="8" t="s">
        <v>310</v>
      </c>
      <c r="AO91" s="6" t="s">
        <v>1016</v>
      </c>
      <c r="AP91" s="6" t="s">
        <v>1017</v>
      </c>
      <c r="AQ91" s="11" t="s">
        <v>1018</v>
      </c>
      <c r="AR91" s="11" t="s">
        <v>1019</v>
      </c>
    </row>
    <row r="92" customFormat="false" ht="35.05" hidden="false" customHeight="false" outlineLevel="0" collapsed="false">
      <c r="A92" s="8" t="s">
        <v>1020</v>
      </c>
      <c r="B92" s="11" t="s">
        <v>1021</v>
      </c>
      <c r="C92" s="8" t="n">
        <v>2026</v>
      </c>
      <c r="D92" s="6" t="s">
        <v>1022</v>
      </c>
      <c r="E92" s="11" t="s">
        <v>1023</v>
      </c>
      <c r="F92" s="11" t="s">
        <v>406</v>
      </c>
      <c r="G92" s="12" t="s">
        <v>1024</v>
      </c>
      <c r="H92" s="13" t="s">
        <v>20</v>
      </c>
      <c r="I92" s="8" t="s">
        <v>77</v>
      </c>
      <c r="J92" s="6" t="s">
        <v>1025</v>
      </c>
      <c r="K92" s="11" t="s">
        <v>20</v>
      </c>
      <c r="L92" s="11" t="s">
        <v>1026</v>
      </c>
      <c r="M92" s="11" t="s">
        <v>298</v>
      </c>
      <c r="N92" s="11" t="s">
        <v>170</v>
      </c>
      <c r="O92" s="11" t="s">
        <v>171</v>
      </c>
      <c r="P92" s="8" t="s">
        <v>172</v>
      </c>
      <c r="Q92" s="8"/>
      <c r="R92" s="8" t="s">
        <v>172</v>
      </c>
      <c r="S92" s="8"/>
      <c r="T92" s="8"/>
      <c r="U92" s="8"/>
      <c r="V92" s="8" t="s">
        <v>172</v>
      </c>
      <c r="W92" s="8" t="str">
        <f aca="false">IF(AND(P92="X",OR(R92="X",S92="X",T92="X")),"Sí","No")</f>
        <v>Sí</v>
      </c>
      <c r="X92" s="8"/>
      <c r="Y92" s="8"/>
      <c r="Z92" s="8"/>
      <c r="AA92" s="8"/>
      <c r="AB92" s="8" t="s">
        <v>172</v>
      </c>
      <c r="AC92" s="8" t="s">
        <v>172</v>
      </c>
      <c r="AD92" s="8"/>
      <c r="AE92" s="8"/>
      <c r="AF92" s="8"/>
      <c r="AG92" s="8"/>
      <c r="AH92" s="8"/>
      <c r="AI92" s="8"/>
      <c r="AJ92" s="8"/>
      <c r="AK92" s="8"/>
      <c r="AL92" s="8" t="s">
        <v>173</v>
      </c>
      <c r="AM92" s="8" t="s">
        <v>173</v>
      </c>
      <c r="AN92" s="8" t="s">
        <v>173</v>
      </c>
      <c r="AO92" s="6" t="s">
        <v>174</v>
      </c>
      <c r="AP92" s="6" t="s">
        <v>1027</v>
      </c>
      <c r="AQ92" s="11" t="s">
        <v>160</v>
      </c>
      <c r="AR92" s="11" t="s">
        <v>1028</v>
      </c>
    </row>
    <row r="93" customFormat="false" ht="23.85" hidden="false" customHeight="false" outlineLevel="0" collapsed="false">
      <c r="A93" s="8" t="s">
        <v>1029</v>
      </c>
      <c r="B93" s="11"/>
      <c r="C93" s="8" t="n">
        <v>2026</v>
      </c>
      <c r="D93" s="6" t="s">
        <v>1030</v>
      </c>
      <c r="E93" s="11" t="s">
        <v>189</v>
      </c>
      <c r="F93" s="11" t="s">
        <v>1031</v>
      </c>
      <c r="G93" s="11"/>
      <c r="H93" s="13" t="s">
        <v>21</v>
      </c>
      <c r="I93" s="8" t="s">
        <v>86</v>
      </c>
      <c r="J93" s="6" t="s">
        <v>1032</v>
      </c>
      <c r="K93" s="11" t="s">
        <v>20</v>
      </c>
      <c r="L93" s="11" t="s">
        <v>217</v>
      </c>
      <c r="M93" s="11" t="s">
        <v>218</v>
      </c>
      <c r="N93" s="11" t="s">
        <v>229</v>
      </c>
      <c r="O93" s="11" t="s">
        <v>171</v>
      </c>
      <c r="P93" s="8"/>
      <c r="Q93" s="8"/>
      <c r="R93" s="8"/>
      <c r="S93" s="8"/>
      <c r="T93" s="8"/>
      <c r="U93" s="8"/>
      <c r="V93" s="8"/>
      <c r="W93" s="8" t="str">
        <f aca="false">IF(AND(P93="X",OR(R93="X",S93="X",T93="X")),"Sí","No")</f>
        <v>No</v>
      </c>
      <c r="X93" s="8"/>
      <c r="Y93" s="8"/>
      <c r="Z93" s="8"/>
      <c r="AA93" s="8"/>
      <c r="AB93" s="8"/>
      <c r="AC93" s="8"/>
      <c r="AD93" s="8"/>
      <c r="AE93" s="8"/>
      <c r="AF93" s="8"/>
      <c r="AG93" s="8"/>
      <c r="AH93" s="8"/>
      <c r="AI93" s="8"/>
      <c r="AJ93" s="8"/>
      <c r="AK93" s="8"/>
      <c r="AL93" s="8" t="s">
        <v>173</v>
      </c>
      <c r="AM93" s="8" t="s">
        <v>173</v>
      </c>
      <c r="AN93" s="8" t="s">
        <v>173</v>
      </c>
      <c r="AO93" s="6" t="s">
        <v>230</v>
      </c>
      <c r="AP93" s="6" t="s">
        <v>230</v>
      </c>
      <c r="AQ93" s="11" t="s">
        <v>160</v>
      </c>
      <c r="AR93" s="11" t="s">
        <v>1033</v>
      </c>
    </row>
    <row r="94" customFormat="false" ht="23.85" hidden="false" customHeight="false" outlineLevel="0" collapsed="false">
      <c r="A94" s="8" t="s">
        <v>1034</v>
      </c>
      <c r="B94" s="11" t="s">
        <v>1035</v>
      </c>
      <c r="C94" s="8" t="n">
        <v>2025</v>
      </c>
      <c r="D94" s="6" t="s">
        <v>1036</v>
      </c>
      <c r="E94" s="11" t="s">
        <v>1037</v>
      </c>
      <c r="F94" s="11" t="s">
        <v>165</v>
      </c>
      <c r="G94" s="12" t="s">
        <v>1038</v>
      </c>
      <c r="H94" s="13" t="s">
        <v>19</v>
      </c>
      <c r="I94" s="8" t="s">
        <v>68</v>
      </c>
      <c r="J94" s="6" t="s">
        <v>1039</v>
      </c>
      <c r="K94" s="11" t="s">
        <v>19</v>
      </c>
      <c r="L94" s="11" t="s">
        <v>480</v>
      </c>
      <c r="M94" s="11" t="s">
        <v>184</v>
      </c>
      <c r="N94" s="11" t="s">
        <v>593</v>
      </c>
      <c r="O94" s="11" t="s">
        <v>194</v>
      </c>
      <c r="P94" s="8"/>
      <c r="Q94" s="8"/>
      <c r="R94" s="8" t="s">
        <v>172</v>
      </c>
      <c r="S94" s="8" t="s">
        <v>172</v>
      </c>
      <c r="T94" s="8"/>
      <c r="U94" s="8"/>
      <c r="V94" s="8"/>
      <c r="W94" s="8" t="str">
        <f aca="false">IF(AND(P94="X",OR(R94="X",S94="X",T94="X")),"Sí","No")</f>
        <v>No</v>
      </c>
      <c r="X94" s="8"/>
      <c r="Y94" s="8"/>
      <c r="Z94" s="8"/>
      <c r="AA94" s="8"/>
      <c r="AB94" s="8"/>
      <c r="AC94" s="8"/>
      <c r="AD94" s="8"/>
      <c r="AE94" s="8"/>
      <c r="AF94" s="8"/>
      <c r="AG94" s="8"/>
      <c r="AH94" s="8"/>
      <c r="AI94" s="8"/>
      <c r="AJ94" s="8"/>
      <c r="AK94" s="8"/>
      <c r="AL94" s="8" t="s">
        <v>173</v>
      </c>
      <c r="AM94" s="8" t="s">
        <v>173</v>
      </c>
      <c r="AN94" s="8" t="s">
        <v>173</v>
      </c>
      <c r="AO94" s="6" t="s">
        <v>170</v>
      </c>
      <c r="AP94" s="6" t="s">
        <v>1040</v>
      </c>
      <c r="AQ94" s="11" t="s">
        <v>160</v>
      </c>
      <c r="AR94" s="11" t="s">
        <v>1041</v>
      </c>
    </row>
    <row r="95" customFormat="false" ht="23.85" hidden="false" customHeight="false" outlineLevel="0" collapsed="false">
      <c r="A95" s="8" t="s">
        <v>1042</v>
      </c>
      <c r="B95" s="11" t="s">
        <v>1043</v>
      </c>
      <c r="C95" s="8" t="n">
        <v>2025</v>
      </c>
      <c r="D95" s="6" t="s">
        <v>1044</v>
      </c>
      <c r="E95" s="11" t="s">
        <v>1045</v>
      </c>
      <c r="F95" s="11" t="s">
        <v>165</v>
      </c>
      <c r="G95" s="12" t="s">
        <v>1046</v>
      </c>
      <c r="H95" s="13" t="s">
        <v>21</v>
      </c>
      <c r="I95" s="8" t="s">
        <v>89</v>
      </c>
      <c r="J95" s="6" t="s">
        <v>1047</v>
      </c>
      <c r="K95" s="11" t="s">
        <v>21</v>
      </c>
      <c r="L95" s="11" t="s">
        <v>1048</v>
      </c>
      <c r="M95" s="11" t="s">
        <v>169</v>
      </c>
      <c r="N95" s="11" t="s">
        <v>229</v>
      </c>
      <c r="O95" s="11" t="s">
        <v>171</v>
      </c>
      <c r="P95" s="8"/>
      <c r="Q95" s="8"/>
      <c r="R95" s="8" t="s">
        <v>172</v>
      </c>
      <c r="S95" s="8"/>
      <c r="T95" s="8"/>
      <c r="U95" s="8"/>
      <c r="V95" s="8"/>
      <c r="W95" s="8" t="str">
        <f aca="false">IF(AND(P95="X",OR(R95="X",S95="X",T95="X")),"Sí","No")</f>
        <v>No</v>
      </c>
      <c r="X95" s="8"/>
      <c r="Y95" s="8"/>
      <c r="Z95" s="8"/>
      <c r="AA95" s="8"/>
      <c r="AB95" s="8"/>
      <c r="AC95" s="8"/>
      <c r="AD95" s="8"/>
      <c r="AE95" s="8"/>
      <c r="AF95" s="8"/>
      <c r="AG95" s="8"/>
      <c r="AH95" s="8"/>
      <c r="AI95" s="8"/>
      <c r="AJ95" s="8"/>
      <c r="AK95" s="8"/>
      <c r="AL95" s="8" t="s">
        <v>173</v>
      </c>
      <c r="AM95" s="8" t="s">
        <v>173</v>
      </c>
      <c r="AN95" s="8" t="s">
        <v>173</v>
      </c>
      <c r="AO95" s="6" t="s">
        <v>1049</v>
      </c>
      <c r="AP95" s="6" t="s">
        <v>230</v>
      </c>
      <c r="AQ95" s="11" t="s">
        <v>160</v>
      </c>
      <c r="AR95" s="11" t="s">
        <v>1050</v>
      </c>
    </row>
    <row r="96" customFormat="false" ht="23.85" hidden="false" customHeight="false" outlineLevel="0" collapsed="false">
      <c r="A96" s="8" t="s">
        <v>1051</v>
      </c>
      <c r="B96" s="11" t="s">
        <v>1052</v>
      </c>
      <c r="C96" s="8" t="n">
        <v>2027</v>
      </c>
      <c r="D96" s="6" t="s">
        <v>1053</v>
      </c>
      <c r="E96" s="11" t="s">
        <v>1054</v>
      </c>
      <c r="F96" s="11" t="s">
        <v>214</v>
      </c>
      <c r="G96" s="12" t="s">
        <v>1055</v>
      </c>
      <c r="H96" s="13" t="s">
        <v>19</v>
      </c>
      <c r="I96" s="8" t="s">
        <v>68</v>
      </c>
      <c r="J96" s="6" t="s">
        <v>1056</v>
      </c>
      <c r="K96" s="11" t="s">
        <v>19</v>
      </c>
      <c r="L96" s="11" t="s">
        <v>1057</v>
      </c>
      <c r="M96" s="11" t="s">
        <v>184</v>
      </c>
      <c r="N96" s="11" t="s">
        <v>170</v>
      </c>
      <c r="O96" s="11" t="s">
        <v>171</v>
      </c>
      <c r="P96" s="8"/>
      <c r="Q96" s="8"/>
      <c r="R96" s="8"/>
      <c r="S96" s="8"/>
      <c r="T96" s="8" t="s">
        <v>172</v>
      </c>
      <c r="U96" s="8"/>
      <c r="V96" s="8"/>
      <c r="W96" s="8" t="str">
        <f aca="false">IF(AND(P96="X",OR(R96="X",S96="X",T96="X")),"Sí","No")</f>
        <v>No</v>
      </c>
      <c r="X96" s="8"/>
      <c r="Y96" s="8"/>
      <c r="Z96" s="8"/>
      <c r="AA96" s="8"/>
      <c r="AB96" s="8"/>
      <c r="AC96" s="8"/>
      <c r="AD96" s="8"/>
      <c r="AE96" s="8"/>
      <c r="AF96" s="8"/>
      <c r="AG96" s="8"/>
      <c r="AH96" s="8"/>
      <c r="AI96" s="8"/>
      <c r="AJ96" s="8"/>
      <c r="AK96" s="8"/>
      <c r="AL96" s="8" t="s">
        <v>173</v>
      </c>
      <c r="AM96" s="8" t="s">
        <v>173</v>
      </c>
      <c r="AN96" s="8" t="s">
        <v>173</v>
      </c>
      <c r="AO96" s="6" t="s">
        <v>1058</v>
      </c>
      <c r="AP96" s="6" t="s">
        <v>1059</v>
      </c>
      <c r="AQ96" s="11" t="s">
        <v>160</v>
      </c>
      <c r="AR96" s="11" t="s">
        <v>1060</v>
      </c>
    </row>
    <row r="97" customFormat="false" ht="23.85" hidden="false" customHeight="false" outlineLevel="0" collapsed="false">
      <c r="A97" s="8" t="s">
        <v>1061</v>
      </c>
      <c r="B97" s="11" t="s">
        <v>1062</v>
      </c>
      <c r="C97" s="8" t="n">
        <v>2024</v>
      </c>
      <c r="D97" s="6" t="s">
        <v>1063</v>
      </c>
      <c r="E97" s="11" t="s">
        <v>1064</v>
      </c>
      <c r="F97" s="11" t="s">
        <v>1065</v>
      </c>
      <c r="G97" s="12" t="s">
        <v>1066</v>
      </c>
      <c r="H97" s="13" t="s">
        <v>20</v>
      </c>
      <c r="I97" s="8" t="s">
        <v>74</v>
      </c>
      <c r="J97" s="6" t="s">
        <v>1067</v>
      </c>
      <c r="K97" s="11" t="s">
        <v>20</v>
      </c>
      <c r="L97" s="11" t="s">
        <v>141</v>
      </c>
      <c r="M97" s="11" t="s">
        <v>205</v>
      </c>
      <c r="N97" s="11" t="s">
        <v>229</v>
      </c>
      <c r="O97" s="11" t="s">
        <v>171</v>
      </c>
      <c r="P97" s="8"/>
      <c r="Q97" s="8"/>
      <c r="R97" s="8" t="s">
        <v>172</v>
      </c>
      <c r="S97" s="8"/>
      <c r="T97" s="8"/>
      <c r="U97" s="8"/>
      <c r="V97" s="8" t="s">
        <v>172</v>
      </c>
      <c r="W97" s="8" t="str">
        <f aca="false">IF(AND(P97="X",OR(R97="X",S97="X",T97="X")),"Sí","No")</f>
        <v>No</v>
      </c>
      <c r="X97" s="8"/>
      <c r="Y97" s="8"/>
      <c r="Z97" s="8"/>
      <c r="AA97" s="8"/>
      <c r="AB97" s="8"/>
      <c r="AC97" s="8"/>
      <c r="AD97" s="8"/>
      <c r="AE97" s="8"/>
      <c r="AF97" s="8"/>
      <c r="AG97" s="8"/>
      <c r="AH97" s="8"/>
      <c r="AI97" s="8"/>
      <c r="AJ97" s="8"/>
      <c r="AK97" s="8"/>
      <c r="AL97" s="8" t="s">
        <v>173</v>
      </c>
      <c r="AM97" s="8" t="s">
        <v>173</v>
      </c>
      <c r="AN97" s="8" t="s">
        <v>173</v>
      </c>
      <c r="AO97" s="6" t="s">
        <v>230</v>
      </c>
      <c r="AP97" s="6" t="s">
        <v>230</v>
      </c>
      <c r="AQ97" s="11" t="s">
        <v>160</v>
      </c>
      <c r="AR97" s="11" t="s">
        <v>1068</v>
      </c>
    </row>
    <row r="98" customFormat="false" ht="23.85" hidden="false" customHeight="false" outlineLevel="0" collapsed="false">
      <c r="A98" s="8" t="s">
        <v>1069</v>
      </c>
      <c r="B98" s="11" t="s">
        <v>1070</v>
      </c>
      <c r="C98" s="8" t="n">
        <v>2025</v>
      </c>
      <c r="D98" s="6" t="s">
        <v>1071</v>
      </c>
      <c r="E98" s="11" t="s">
        <v>1072</v>
      </c>
      <c r="F98" s="11" t="s">
        <v>165</v>
      </c>
      <c r="G98" s="12" t="s">
        <v>1073</v>
      </c>
      <c r="H98" s="13" t="s">
        <v>19</v>
      </c>
      <c r="I98" s="8" t="s">
        <v>68</v>
      </c>
      <c r="J98" s="6" t="s">
        <v>1074</v>
      </c>
      <c r="K98" s="11" t="s">
        <v>19</v>
      </c>
      <c r="L98" s="11" t="s">
        <v>1075</v>
      </c>
      <c r="M98" s="11" t="s">
        <v>388</v>
      </c>
      <c r="N98" s="11" t="s">
        <v>170</v>
      </c>
      <c r="O98" s="11" t="s">
        <v>171</v>
      </c>
      <c r="P98" s="8" t="s">
        <v>172</v>
      </c>
      <c r="Q98" s="8"/>
      <c r="R98" s="8" t="s">
        <v>172</v>
      </c>
      <c r="S98" s="8" t="s">
        <v>172</v>
      </c>
      <c r="T98" s="8"/>
      <c r="U98" s="8"/>
      <c r="V98" s="8" t="s">
        <v>172</v>
      </c>
      <c r="W98" s="8" t="str">
        <f aca="false">IF(AND(P98="X",OR(R98="X",S98="X",T98="X")),"Sí","No")</f>
        <v>Sí</v>
      </c>
      <c r="X98" s="8"/>
      <c r="Y98" s="8"/>
      <c r="Z98" s="8"/>
      <c r="AA98" s="8"/>
      <c r="AB98" s="8"/>
      <c r="AC98" s="8"/>
      <c r="AD98" s="8"/>
      <c r="AE98" s="8"/>
      <c r="AF98" s="8"/>
      <c r="AG98" s="8"/>
      <c r="AH98" s="8"/>
      <c r="AI98" s="8"/>
      <c r="AJ98" s="8"/>
      <c r="AK98" s="8"/>
      <c r="AL98" s="8" t="s">
        <v>173</v>
      </c>
      <c r="AM98" s="8" t="s">
        <v>173</v>
      </c>
      <c r="AN98" s="8" t="s">
        <v>173</v>
      </c>
      <c r="AO98" s="6" t="s">
        <v>170</v>
      </c>
      <c r="AP98" s="6" t="s">
        <v>1076</v>
      </c>
      <c r="AQ98" s="11" t="s">
        <v>160</v>
      </c>
      <c r="AR98" s="11" t="s">
        <v>1077</v>
      </c>
    </row>
    <row r="99" customFormat="false" ht="35.05" hidden="false" customHeight="false" outlineLevel="0" collapsed="false">
      <c r="A99" s="8" t="s">
        <v>1078</v>
      </c>
      <c r="B99" s="11" t="s">
        <v>1079</v>
      </c>
      <c r="C99" s="8" t="n">
        <v>2024</v>
      </c>
      <c r="D99" s="6" t="s">
        <v>1080</v>
      </c>
      <c r="E99" s="11" t="s">
        <v>630</v>
      </c>
      <c r="F99" s="11" t="s">
        <v>214</v>
      </c>
      <c r="G99" s="12" t="s">
        <v>1081</v>
      </c>
      <c r="H99" s="13" t="s">
        <v>19</v>
      </c>
      <c r="I99" s="8" t="s">
        <v>68</v>
      </c>
      <c r="J99" s="6" t="s">
        <v>1082</v>
      </c>
      <c r="K99" s="11" t="s">
        <v>19</v>
      </c>
      <c r="L99" s="11" t="s">
        <v>217</v>
      </c>
      <c r="M99" s="11" t="s">
        <v>218</v>
      </c>
      <c r="N99" s="11" t="s">
        <v>1083</v>
      </c>
      <c r="O99" s="11" t="s">
        <v>194</v>
      </c>
      <c r="P99" s="8"/>
      <c r="Q99" s="8"/>
      <c r="R99" s="8" t="s">
        <v>172</v>
      </c>
      <c r="S99" s="8" t="s">
        <v>172</v>
      </c>
      <c r="T99" s="8"/>
      <c r="U99" s="8"/>
      <c r="V99" s="8"/>
      <c r="W99" s="8" t="str">
        <f aca="false">IF(AND(P99="X",OR(R99="X",S99="X",T99="X")),"Sí","No")</f>
        <v>No</v>
      </c>
      <c r="X99" s="8"/>
      <c r="Y99" s="8"/>
      <c r="Z99" s="8"/>
      <c r="AA99" s="8"/>
      <c r="AB99" s="8"/>
      <c r="AC99" s="8"/>
      <c r="AD99" s="8"/>
      <c r="AE99" s="8"/>
      <c r="AF99" s="8"/>
      <c r="AG99" s="8"/>
      <c r="AH99" s="8"/>
      <c r="AI99" s="8"/>
      <c r="AJ99" s="8"/>
      <c r="AK99" s="8"/>
      <c r="AL99" s="8" t="s">
        <v>173</v>
      </c>
      <c r="AM99" s="8" t="s">
        <v>173</v>
      </c>
      <c r="AN99" s="8" t="s">
        <v>173</v>
      </c>
      <c r="AO99" s="6" t="s">
        <v>1084</v>
      </c>
      <c r="AP99" s="6" t="s">
        <v>1085</v>
      </c>
      <c r="AQ99" s="11" t="s">
        <v>160</v>
      </c>
      <c r="AR99" s="11" t="s">
        <v>1086</v>
      </c>
    </row>
    <row r="100" customFormat="false" ht="23.85" hidden="false" customHeight="false" outlineLevel="0" collapsed="false">
      <c r="A100" s="8" t="s">
        <v>1087</v>
      </c>
      <c r="B100" s="11" t="s">
        <v>1088</v>
      </c>
      <c r="C100" s="8" t="n">
        <v>2022</v>
      </c>
      <c r="D100" s="6" t="s">
        <v>1089</v>
      </c>
      <c r="E100" s="11" t="s">
        <v>1090</v>
      </c>
      <c r="F100" s="11" t="s">
        <v>165</v>
      </c>
      <c r="G100" s="11"/>
      <c r="H100" s="13" t="s">
        <v>20</v>
      </c>
      <c r="I100" s="8" t="s">
        <v>71</v>
      </c>
      <c r="J100" s="6" t="s">
        <v>1091</v>
      </c>
      <c r="K100" s="11" t="s">
        <v>20</v>
      </c>
      <c r="L100" s="11" t="s">
        <v>217</v>
      </c>
      <c r="M100" s="11" t="s">
        <v>218</v>
      </c>
      <c r="N100" s="11" t="s">
        <v>1092</v>
      </c>
      <c r="O100" s="11" t="s">
        <v>194</v>
      </c>
      <c r="P100" s="8"/>
      <c r="Q100" s="8"/>
      <c r="R100" s="8"/>
      <c r="S100" s="8" t="s">
        <v>172</v>
      </c>
      <c r="T100" s="8"/>
      <c r="U100" s="8"/>
      <c r="V100" s="8"/>
      <c r="W100" s="8" t="str">
        <f aca="false">IF(AND(P100="X",OR(R100="X",S100="X",T100="X")),"Sí","No")</f>
        <v>No</v>
      </c>
      <c r="X100" s="8"/>
      <c r="Y100" s="8"/>
      <c r="Z100" s="8"/>
      <c r="AA100" s="8"/>
      <c r="AB100" s="8"/>
      <c r="AC100" s="8"/>
      <c r="AD100" s="8"/>
      <c r="AE100" s="8"/>
      <c r="AF100" s="8"/>
      <c r="AG100" s="8"/>
      <c r="AH100" s="8"/>
      <c r="AI100" s="8"/>
      <c r="AJ100" s="8"/>
      <c r="AK100" s="8"/>
      <c r="AL100" s="8" t="s">
        <v>173</v>
      </c>
      <c r="AM100" s="8" t="s">
        <v>310</v>
      </c>
      <c r="AN100" s="8" t="s">
        <v>173</v>
      </c>
      <c r="AO100" s="6" t="s">
        <v>1093</v>
      </c>
      <c r="AP100" s="6" t="s">
        <v>1094</v>
      </c>
      <c r="AQ100" s="11" t="s">
        <v>160</v>
      </c>
      <c r="AR100" s="11" t="s">
        <v>1095</v>
      </c>
    </row>
    <row r="101" customFormat="false" ht="23.85" hidden="false" customHeight="false" outlineLevel="0" collapsed="false">
      <c r="A101" s="8" t="s">
        <v>1096</v>
      </c>
      <c r="B101" s="11" t="s">
        <v>1097</v>
      </c>
      <c r="C101" s="8" t="n">
        <v>2025</v>
      </c>
      <c r="D101" s="6" t="s">
        <v>1098</v>
      </c>
      <c r="E101" s="11" t="s">
        <v>1099</v>
      </c>
      <c r="F101" s="11" t="s">
        <v>214</v>
      </c>
      <c r="G101" s="12" t="s">
        <v>1100</v>
      </c>
      <c r="H101" s="13" t="s">
        <v>19</v>
      </c>
      <c r="I101" s="8" t="s">
        <v>68</v>
      </c>
      <c r="J101" s="6" t="s">
        <v>1101</v>
      </c>
      <c r="K101" s="11" t="s">
        <v>19</v>
      </c>
      <c r="L101" s="11" t="s">
        <v>470</v>
      </c>
      <c r="M101" s="11" t="s">
        <v>470</v>
      </c>
      <c r="N101" s="11" t="s">
        <v>206</v>
      </c>
      <c r="O101" s="11" t="s">
        <v>206</v>
      </c>
      <c r="P101" s="8" t="s">
        <v>172</v>
      </c>
      <c r="Q101" s="8"/>
      <c r="R101" s="8" t="s">
        <v>172</v>
      </c>
      <c r="S101" s="8"/>
      <c r="T101" s="8"/>
      <c r="U101" s="8"/>
      <c r="V101" s="8"/>
      <c r="W101" s="8" t="str">
        <f aca="false">IF(AND(P101="X",OR(R101="X",S101="X",T101="X")),"Sí","No")</f>
        <v>Sí</v>
      </c>
      <c r="X101" s="8"/>
      <c r="Y101" s="8"/>
      <c r="Z101" s="8"/>
      <c r="AA101" s="8"/>
      <c r="AB101" s="8"/>
      <c r="AC101" s="8"/>
      <c r="AD101" s="8"/>
      <c r="AE101" s="8"/>
      <c r="AF101" s="8"/>
      <c r="AG101" s="8"/>
      <c r="AH101" s="8"/>
      <c r="AI101" s="8"/>
      <c r="AJ101" s="8"/>
      <c r="AK101" s="8"/>
      <c r="AL101" s="8" t="s">
        <v>173</v>
      </c>
      <c r="AM101" s="8" t="s">
        <v>173</v>
      </c>
      <c r="AN101" s="8" t="s">
        <v>173</v>
      </c>
      <c r="AO101" s="6" t="s">
        <v>1102</v>
      </c>
      <c r="AP101" s="6" t="s">
        <v>1103</v>
      </c>
      <c r="AQ101" s="11" t="s">
        <v>341</v>
      </c>
      <c r="AR101" s="11" t="s">
        <v>1104</v>
      </c>
    </row>
    <row r="102" customFormat="false" ht="23.85" hidden="false" customHeight="false" outlineLevel="0" collapsed="false">
      <c r="A102" s="8" t="s">
        <v>1105</v>
      </c>
      <c r="B102" s="11" t="s">
        <v>1106</v>
      </c>
      <c r="C102" s="8" t="n">
        <v>2023</v>
      </c>
      <c r="D102" s="6" t="s">
        <v>1107</v>
      </c>
      <c r="E102" s="11" t="s">
        <v>487</v>
      </c>
      <c r="F102" s="11" t="s">
        <v>165</v>
      </c>
      <c r="G102" s="12" t="s">
        <v>1108</v>
      </c>
      <c r="H102" s="13" t="s">
        <v>20</v>
      </c>
      <c r="I102" s="8" t="s">
        <v>71</v>
      </c>
      <c r="J102" s="6" t="s">
        <v>1109</v>
      </c>
      <c r="K102" s="11" t="s">
        <v>20</v>
      </c>
      <c r="L102" s="11" t="s">
        <v>238</v>
      </c>
      <c r="M102" s="11" t="s">
        <v>239</v>
      </c>
      <c r="N102" s="11" t="s">
        <v>771</v>
      </c>
      <c r="O102" s="11" t="s">
        <v>194</v>
      </c>
      <c r="P102" s="8"/>
      <c r="Q102" s="8"/>
      <c r="R102" s="8"/>
      <c r="S102" s="8" t="s">
        <v>172</v>
      </c>
      <c r="T102" s="8"/>
      <c r="U102" s="8"/>
      <c r="V102" s="8"/>
      <c r="W102" s="8" t="str">
        <f aca="false">IF(AND(P102="X",OR(R102="X",S102="X",T102="X")),"Sí","No")</f>
        <v>No</v>
      </c>
      <c r="X102" s="8"/>
      <c r="Y102" s="8"/>
      <c r="Z102" s="8"/>
      <c r="AA102" s="8"/>
      <c r="AB102" s="8"/>
      <c r="AC102" s="8"/>
      <c r="AD102" s="8"/>
      <c r="AE102" s="8"/>
      <c r="AF102" s="8"/>
      <c r="AG102" s="8"/>
      <c r="AH102" s="8"/>
      <c r="AI102" s="8"/>
      <c r="AJ102" s="8"/>
      <c r="AK102" s="8"/>
      <c r="AL102" s="8" t="s">
        <v>173</v>
      </c>
      <c r="AM102" s="8" t="s">
        <v>173</v>
      </c>
      <c r="AN102" s="8" t="s">
        <v>173</v>
      </c>
      <c r="AO102" s="6" t="s">
        <v>1110</v>
      </c>
      <c r="AP102" s="6" t="s">
        <v>1111</v>
      </c>
      <c r="AQ102" s="11" t="s">
        <v>160</v>
      </c>
      <c r="AR102" s="11" t="s">
        <v>1112</v>
      </c>
    </row>
    <row r="103" customFormat="false" ht="23.85" hidden="false" customHeight="false" outlineLevel="0" collapsed="false">
      <c r="A103" s="8" t="s">
        <v>1113</v>
      </c>
      <c r="B103" s="11" t="s">
        <v>1114</v>
      </c>
      <c r="C103" s="8" t="n">
        <v>2026</v>
      </c>
      <c r="D103" s="6" t="s">
        <v>1115</v>
      </c>
      <c r="E103" s="11" t="s">
        <v>1116</v>
      </c>
      <c r="F103" s="11" t="s">
        <v>165</v>
      </c>
      <c r="G103" s="12" t="s">
        <v>1117</v>
      </c>
      <c r="H103" s="13" t="s">
        <v>19</v>
      </c>
      <c r="I103" s="8" t="s">
        <v>68</v>
      </c>
      <c r="J103" s="6" t="s">
        <v>1118</v>
      </c>
      <c r="K103" s="11" t="s">
        <v>19</v>
      </c>
      <c r="L103" s="11" t="s">
        <v>1119</v>
      </c>
      <c r="M103" s="11" t="s">
        <v>205</v>
      </c>
      <c r="N103" s="11" t="s">
        <v>170</v>
      </c>
      <c r="O103" s="11" t="s">
        <v>171</v>
      </c>
      <c r="P103" s="8" t="s">
        <v>172</v>
      </c>
      <c r="Q103" s="8"/>
      <c r="R103" s="8" t="s">
        <v>172</v>
      </c>
      <c r="S103" s="8"/>
      <c r="T103" s="8" t="s">
        <v>172</v>
      </c>
      <c r="U103" s="8" t="s">
        <v>172</v>
      </c>
      <c r="V103" s="8"/>
      <c r="W103" s="8" t="str">
        <f aca="false">IF(AND(P103="X",OR(R103="X",S103="X",T103="X")),"Sí","No")</f>
        <v>Sí</v>
      </c>
      <c r="X103" s="8"/>
      <c r="Y103" s="8"/>
      <c r="Z103" s="8"/>
      <c r="AA103" s="8"/>
      <c r="AB103" s="8"/>
      <c r="AC103" s="8"/>
      <c r="AD103" s="8"/>
      <c r="AE103" s="8"/>
      <c r="AF103" s="8"/>
      <c r="AG103" s="8"/>
      <c r="AH103" s="8"/>
      <c r="AI103" s="8"/>
      <c r="AJ103" s="8"/>
      <c r="AK103" s="8"/>
      <c r="AL103" s="8" t="s">
        <v>310</v>
      </c>
      <c r="AM103" s="8" t="s">
        <v>173</v>
      </c>
      <c r="AN103" s="8" t="s">
        <v>173</v>
      </c>
      <c r="AO103" s="6" t="s">
        <v>1120</v>
      </c>
      <c r="AP103" s="6" t="s">
        <v>1121</v>
      </c>
      <c r="AQ103" s="11" t="s">
        <v>160</v>
      </c>
      <c r="AR103" s="11" t="s">
        <v>1122</v>
      </c>
    </row>
    <row r="104" customFormat="false" ht="23.85" hidden="false" customHeight="false" outlineLevel="0" collapsed="false">
      <c r="A104" s="8" t="s">
        <v>1123</v>
      </c>
      <c r="B104" s="11" t="s">
        <v>1124</v>
      </c>
      <c r="C104" s="8" t="n">
        <v>2025</v>
      </c>
      <c r="D104" s="6" t="s">
        <v>1125</v>
      </c>
      <c r="E104" s="11" t="s">
        <v>1126</v>
      </c>
      <c r="F104" s="11" t="s">
        <v>165</v>
      </c>
      <c r="G104" s="12" t="s">
        <v>1127</v>
      </c>
      <c r="H104" s="13" t="s">
        <v>19</v>
      </c>
      <c r="I104" s="8" t="s">
        <v>68</v>
      </c>
      <c r="J104" s="6" t="s">
        <v>1128</v>
      </c>
      <c r="K104" s="11" t="s">
        <v>19</v>
      </c>
      <c r="L104" s="11" t="s">
        <v>1129</v>
      </c>
      <c r="M104" s="11" t="s">
        <v>388</v>
      </c>
      <c r="N104" s="11" t="s">
        <v>170</v>
      </c>
      <c r="O104" s="11" t="s">
        <v>171</v>
      </c>
      <c r="P104" s="8" t="s">
        <v>172</v>
      </c>
      <c r="Q104" s="8"/>
      <c r="R104" s="8" t="s">
        <v>172</v>
      </c>
      <c r="S104" s="8" t="s">
        <v>172</v>
      </c>
      <c r="T104" s="8"/>
      <c r="U104" s="8"/>
      <c r="V104" s="8"/>
      <c r="W104" s="8" t="str">
        <f aca="false">IF(AND(P104="X",OR(R104="X",S104="X",T104="X")),"Sí","No")</f>
        <v>Sí</v>
      </c>
      <c r="X104" s="8"/>
      <c r="Y104" s="8"/>
      <c r="Z104" s="8"/>
      <c r="AA104" s="8"/>
      <c r="AB104" s="8"/>
      <c r="AC104" s="8"/>
      <c r="AD104" s="8"/>
      <c r="AE104" s="8"/>
      <c r="AF104" s="8"/>
      <c r="AG104" s="8"/>
      <c r="AH104" s="8"/>
      <c r="AI104" s="8"/>
      <c r="AJ104" s="8"/>
      <c r="AK104" s="8"/>
      <c r="AL104" s="8" t="s">
        <v>173</v>
      </c>
      <c r="AM104" s="8" t="s">
        <v>173</v>
      </c>
      <c r="AN104" s="8" t="s">
        <v>173</v>
      </c>
      <c r="AO104" s="6" t="s">
        <v>1130</v>
      </c>
      <c r="AP104" s="6" t="s">
        <v>279</v>
      </c>
      <c r="AQ104" s="11" t="s">
        <v>160</v>
      </c>
      <c r="AR104" s="11" t="s">
        <v>1131</v>
      </c>
    </row>
    <row r="105" customFormat="false" ht="35.05" hidden="false" customHeight="false" outlineLevel="0" collapsed="false">
      <c r="A105" s="8" t="s">
        <v>1132</v>
      </c>
      <c r="B105" s="11" t="s">
        <v>1133</v>
      </c>
      <c r="C105" s="8" t="n">
        <v>2026</v>
      </c>
      <c r="D105" s="6" t="s">
        <v>1134</v>
      </c>
      <c r="E105" s="11" t="s">
        <v>1135</v>
      </c>
      <c r="F105" s="11" t="s">
        <v>165</v>
      </c>
      <c r="G105" s="12" t="s">
        <v>1136</v>
      </c>
      <c r="H105" s="13" t="s">
        <v>20</v>
      </c>
      <c r="I105" s="8" t="s">
        <v>71</v>
      </c>
      <c r="J105" s="6" t="s">
        <v>1137</v>
      </c>
      <c r="K105" s="11" t="s">
        <v>20</v>
      </c>
      <c r="L105" s="11" t="s">
        <v>217</v>
      </c>
      <c r="M105" s="11" t="s">
        <v>218</v>
      </c>
      <c r="N105" s="11" t="s">
        <v>1138</v>
      </c>
      <c r="O105" s="11" t="s">
        <v>194</v>
      </c>
      <c r="P105" s="8"/>
      <c r="Q105" s="8"/>
      <c r="R105" s="8"/>
      <c r="S105" s="8"/>
      <c r="T105" s="8"/>
      <c r="U105" s="8"/>
      <c r="V105" s="8" t="s">
        <v>172</v>
      </c>
      <c r="W105" s="8" t="str">
        <f aca="false">IF(AND(P105="X",OR(R105="X",S105="X",T105="X")),"Sí","No")</f>
        <v>No</v>
      </c>
      <c r="X105" s="8" t="s">
        <v>172</v>
      </c>
      <c r="Y105" s="8"/>
      <c r="Z105" s="8"/>
      <c r="AA105" s="8"/>
      <c r="AB105" s="8"/>
      <c r="AC105" s="8"/>
      <c r="AD105" s="8" t="s">
        <v>172</v>
      </c>
      <c r="AE105" s="8" t="s">
        <v>172</v>
      </c>
      <c r="AF105" s="8"/>
      <c r="AG105" s="8"/>
      <c r="AH105" s="8"/>
      <c r="AI105" s="8"/>
      <c r="AJ105" s="8"/>
      <c r="AK105" s="8"/>
      <c r="AL105" s="8" t="s">
        <v>173</v>
      </c>
      <c r="AM105" s="8" t="s">
        <v>310</v>
      </c>
      <c r="AN105" s="8" t="s">
        <v>173</v>
      </c>
      <c r="AO105" s="6" t="s">
        <v>1139</v>
      </c>
      <c r="AP105" s="6" t="s">
        <v>1140</v>
      </c>
      <c r="AQ105" s="11" t="s">
        <v>160</v>
      </c>
      <c r="AR105" s="11" t="s">
        <v>1141</v>
      </c>
    </row>
    <row r="106" customFormat="false" ht="23.85" hidden="false" customHeight="false" outlineLevel="0" collapsed="false">
      <c r="A106" s="8" t="s">
        <v>1142</v>
      </c>
      <c r="B106" s="11" t="s">
        <v>1143</v>
      </c>
      <c r="C106" s="8" t="n">
        <v>2026</v>
      </c>
      <c r="D106" s="6" t="s">
        <v>1144</v>
      </c>
      <c r="E106" s="11" t="s">
        <v>1145</v>
      </c>
      <c r="F106" s="11" t="s">
        <v>165</v>
      </c>
      <c r="G106" s="12" t="s">
        <v>1146</v>
      </c>
      <c r="H106" s="13" t="s">
        <v>19</v>
      </c>
      <c r="I106" s="8" t="s">
        <v>68</v>
      </c>
      <c r="J106" s="6" t="s">
        <v>1147</v>
      </c>
      <c r="K106" s="11" t="s">
        <v>19</v>
      </c>
      <c r="L106" s="11" t="s">
        <v>1129</v>
      </c>
      <c r="M106" s="11" t="s">
        <v>388</v>
      </c>
      <c r="N106" s="11" t="s">
        <v>170</v>
      </c>
      <c r="O106" s="11" t="s">
        <v>171</v>
      </c>
      <c r="P106" s="8" t="s">
        <v>172</v>
      </c>
      <c r="Q106" s="8"/>
      <c r="R106" s="8" t="s">
        <v>172</v>
      </c>
      <c r="S106" s="8"/>
      <c r="T106" s="8"/>
      <c r="U106" s="8"/>
      <c r="V106" s="8" t="s">
        <v>172</v>
      </c>
      <c r="W106" s="8" t="str">
        <f aca="false">IF(AND(P106="X",OR(R106="X",S106="X",T106="X")),"Sí","No")</f>
        <v>Sí</v>
      </c>
      <c r="X106" s="8"/>
      <c r="Y106" s="8"/>
      <c r="Z106" s="8"/>
      <c r="AA106" s="8"/>
      <c r="AB106" s="8"/>
      <c r="AC106" s="8"/>
      <c r="AD106" s="8"/>
      <c r="AE106" s="8"/>
      <c r="AF106" s="8"/>
      <c r="AG106" s="8"/>
      <c r="AH106" s="8"/>
      <c r="AI106" s="8"/>
      <c r="AJ106" s="8"/>
      <c r="AK106" s="8"/>
      <c r="AL106" s="8" t="s">
        <v>173</v>
      </c>
      <c r="AM106" s="8" t="s">
        <v>173</v>
      </c>
      <c r="AN106" s="8" t="s">
        <v>173</v>
      </c>
      <c r="AO106" s="6" t="s">
        <v>1130</v>
      </c>
      <c r="AP106" s="6" t="s">
        <v>1148</v>
      </c>
      <c r="AQ106" s="11" t="s">
        <v>160</v>
      </c>
      <c r="AR106" s="11" t="s">
        <v>1149</v>
      </c>
    </row>
    <row r="107" customFormat="false" ht="23.85" hidden="false" customHeight="false" outlineLevel="0" collapsed="false">
      <c r="A107" s="8" t="s">
        <v>1150</v>
      </c>
      <c r="B107" s="11" t="s">
        <v>1151</v>
      </c>
      <c r="C107" s="8" t="n">
        <v>2025</v>
      </c>
      <c r="D107" s="6" t="s">
        <v>1152</v>
      </c>
      <c r="E107" s="11" t="s">
        <v>414</v>
      </c>
      <c r="F107" s="11" t="s">
        <v>165</v>
      </c>
      <c r="G107" s="12" t="s">
        <v>1153</v>
      </c>
      <c r="H107" s="13" t="s">
        <v>19</v>
      </c>
      <c r="I107" s="8" t="s">
        <v>68</v>
      </c>
      <c r="J107" s="6" t="s">
        <v>1154</v>
      </c>
      <c r="K107" s="11" t="s">
        <v>19</v>
      </c>
      <c r="L107" s="11" t="s">
        <v>1155</v>
      </c>
      <c r="M107" s="11" t="s">
        <v>184</v>
      </c>
      <c r="N107" s="11" t="s">
        <v>288</v>
      </c>
      <c r="O107" s="11" t="s">
        <v>288</v>
      </c>
      <c r="P107" s="8" t="s">
        <v>172</v>
      </c>
      <c r="Q107" s="8" t="s">
        <v>172</v>
      </c>
      <c r="R107" s="8"/>
      <c r="S107" s="8" t="s">
        <v>172</v>
      </c>
      <c r="T107" s="8"/>
      <c r="U107" s="8"/>
      <c r="V107" s="8"/>
      <c r="W107" s="8" t="str">
        <f aca="false">IF(AND(P107="X",OR(R107="X",S107="X",T107="X")),"Sí","No")</f>
        <v>Sí</v>
      </c>
      <c r="X107" s="8"/>
      <c r="Y107" s="8"/>
      <c r="Z107" s="8"/>
      <c r="AA107" s="8"/>
      <c r="AB107" s="8"/>
      <c r="AC107" s="8"/>
      <c r="AD107" s="8"/>
      <c r="AE107" s="8"/>
      <c r="AF107" s="8"/>
      <c r="AG107" s="8"/>
      <c r="AH107" s="8"/>
      <c r="AI107" s="8"/>
      <c r="AJ107" s="8"/>
      <c r="AK107" s="8"/>
      <c r="AL107" s="8" t="s">
        <v>173</v>
      </c>
      <c r="AM107" s="8" t="s">
        <v>173</v>
      </c>
      <c r="AN107" s="8" t="s">
        <v>173</v>
      </c>
      <c r="AO107" s="6" t="s">
        <v>1156</v>
      </c>
      <c r="AP107" s="6" t="s">
        <v>1157</v>
      </c>
      <c r="AQ107" s="11" t="s">
        <v>341</v>
      </c>
      <c r="AR107" s="11" t="s">
        <v>1158</v>
      </c>
    </row>
    <row r="108" customFormat="false" ht="23.85" hidden="false" customHeight="false" outlineLevel="0" collapsed="false">
      <c r="A108" s="8" t="s">
        <v>1159</v>
      </c>
      <c r="B108" s="11" t="s">
        <v>1160</v>
      </c>
      <c r="C108" s="8" t="n">
        <v>2022</v>
      </c>
      <c r="D108" s="6" t="s">
        <v>1161</v>
      </c>
      <c r="E108" s="11" t="s">
        <v>1090</v>
      </c>
      <c r="F108" s="11" t="s">
        <v>165</v>
      </c>
      <c r="G108" s="11"/>
      <c r="H108" s="13" t="s">
        <v>19</v>
      </c>
      <c r="I108" s="8" t="s">
        <v>68</v>
      </c>
      <c r="J108" s="6" t="s">
        <v>1162</v>
      </c>
      <c r="K108" s="11" t="s">
        <v>19</v>
      </c>
      <c r="L108" s="11" t="s">
        <v>238</v>
      </c>
      <c r="M108" s="11" t="s">
        <v>239</v>
      </c>
      <c r="N108" s="11" t="s">
        <v>634</v>
      </c>
      <c r="O108" s="11" t="s">
        <v>300</v>
      </c>
      <c r="P108" s="8"/>
      <c r="Q108" s="8"/>
      <c r="R108" s="8"/>
      <c r="S108" s="8" t="s">
        <v>172</v>
      </c>
      <c r="T108" s="8"/>
      <c r="U108" s="8"/>
      <c r="V108" s="8"/>
      <c r="W108" s="8" t="str">
        <f aca="false">IF(AND(P108="X",OR(R108="X",S108="X",T108="X")),"Sí","No")</f>
        <v>No</v>
      </c>
      <c r="X108" s="8"/>
      <c r="Y108" s="8"/>
      <c r="Z108" s="8"/>
      <c r="AA108" s="8"/>
      <c r="AB108" s="8"/>
      <c r="AC108" s="8"/>
      <c r="AD108" s="8"/>
      <c r="AE108" s="8"/>
      <c r="AF108" s="8"/>
      <c r="AG108" s="8"/>
      <c r="AH108" s="8"/>
      <c r="AI108" s="8"/>
      <c r="AJ108" s="8"/>
      <c r="AK108" s="8"/>
      <c r="AL108" s="8" t="s">
        <v>173</v>
      </c>
      <c r="AM108" s="8" t="s">
        <v>173</v>
      </c>
      <c r="AN108" s="8" t="s">
        <v>173</v>
      </c>
      <c r="AO108" s="6" t="s">
        <v>1163</v>
      </c>
      <c r="AP108" s="6" t="s">
        <v>1164</v>
      </c>
      <c r="AQ108" s="11" t="s">
        <v>341</v>
      </c>
      <c r="AR108" s="11" t="s">
        <v>1165</v>
      </c>
    </row>
    <row r="109" customFormat="false" ht="23.85" hidden="false" customHeight="false" outlineLevel="0" collapsed="false">
      <c r="A109" s="8" t="s">
        <v>1166</v>
      </c>
      <c r="B109" s="11" t="s">
        <v>1167</v>
      </c>
      <c r="C109" s="8" t="n">
        <v>2026</v>
      </c>
      <c r="D109" s="6" t="s">
        <v>1168</v>
      </c>
      <c r="E109" s="11" t="s">
        <v>1169</v>
      </c>
      <c r="F109" s="11" t="s">
        <v>165</v>
      </c>
      <c r="G109" s="12" t="s">
        <v>1170</v>
      </c>
      <c r="H109" s="13" t="s">
        <v>21</v>
      </c>
      <c r="I109" s="8" t="s">
        <v>89</v>
      </c>
      <c r="J109" s="6" t="s">
        <v>1171</v>
      </c>
      <c r="K109" s="11" t="s">
        <v>21</v>
      </c>
      <c r="L109" s="11" t="s">
        <v>1172</v>
      </c>
      <c r="M109" s="11" t="s">
        <v>169</v>
      </c>
      <c r="N109" s="11" t="s">
        <v>206</v>
      </c>
      <c r="O109" s="11" t="s">
        <v>206</v>
      </c>
      <c r="P109" s="8"/>
      <c r="Q109" s="8"/>
      <c r="R109" s="8"/>
      <c r="S109" s="8" t="s">
        <v>172</v>
      </c>
      <c r="T109" s="8"/>
      <c r="U109" s="8"/>
      <c r="V109" s="8"/>
      <c r="W109" s="8" t="str">
        <f aca="false">IF(AND(P109="X",OR(R109="X",S109="X",T109="X")),"Sí","No")</f>
        <v>No</v>
      </c>
      <c r="X109" s="8"/>
      <c r="Y109" s="8"/>
      <c r="Z109" s="8"/>
      <c r="AA109" s="8"/>
      <c r="AB109" s="8"/>
      <c r="AC109" s="8"/>
      <c r="AD109" s="8"/>
      <c r="AE109" s="8"/>
      <c r="AF109" s="8"/>
      <c r="AG109" s="8"/>
      <c r="AH109" s="8"/>
      <c r="AI109" s="8"/>
      <c r="AJ109" s="8"/>
      <c r="AK109" s="8"/>
      <c r="AL109" s="8" t="s">
        <v>173</v>
      </c>
      <c r="AM109" s="8" t="s">
        <v>173</v>
      </c>
      <c r="AN109" s="8" t="s">
        <v>173</v>
      </c>
      <c r="AO109" s="6" t="s">
        <v>1173</v>
      </c>
      <c r="AP109" s="6" t="s">
        <v>1174</v>
      </c>
      <c r="AQ109" s="11" t="s">
        <v>160</v>
      </c>
      <c r="AR109" s="11" t="s">
        <v>1175</v>
      </c>
    </row>
    <row r="110" customFormat="false" ht="23.85" hidden="false" customHeight="false" outlineLevel="0" collapsed="false">
      <c r="A110" s="8" t="s">
        <v>1176</v>
      </c>
      <c r="B110" s="11" t="s">
        <v>1177</v>
      </c>
      <c r="C110" s="8" t="n">
        <v>2024</v>
      </c>
      <c r="D110" s="6" t="s">
        <v>1178</v>
      </c>
      <c r="E110" s="11" t="s">
        <v>1179</v>
      </c>
      <c r="F110" s="11" t="s">
        <v>165</v>
      </c>
      <c r="G110" s="11"/>
      <c r="H110" s="13" t="s">
        <v>19</v>
      </c>
      <c r="I110" s="8" t="s">
        <v>68</v>
      </c>
      <c r="J110" s="6" t="s">
        <v>1180</v>
      </c>
      <c r="K110" s="11" t="s">
        <v>19</v>
      </c>
      <c r="L110" s="11" t="s">
        <v>480</v>
      </c>
      <c r="M110" s="11" t="s">
        <v>184</v>
      </c>
      <c r="N110" s="11" t="s">
        <v>771</v>
      </c>
      <c r="O110" s="11" t="s">
        <v>194</v>
      </c>
      <c r="P110" s="8"/>
      <c r="Q110" s="8"/>
      <c r="R110" s="8"/>
      <c r="S110" s="8" t="s">
        <v>172</v>
      </c>
      <c r="T110" s="8" t="s">
        <v>172</v>
      </c>
      <c r="U110" s="8"/>
      <c r="V110" s="8"/>
      <c r="W110" s="8" t="str">
        <f aca="false">IF(AND(P110="X",OR(R110="X",S110="X",T110="X")),"Sí","No")</f>
        <v>No</v>
      </c>
      <c r="X110" s="8"/>
      <c r="Y110" s="8"/>
      <c r="Z110" s="8"/>
      <c r="AA110" s="8"/>
      <c r="AB110" s="8"/>
      <c r="AC110" s="8"/>
      <c r="AD110" s="8"/>
      <c r="AE110" s="8"/>
      <c r="AF110" s="8"/>
      <c r="AG110" s="8"/>
      <c r="AH110" s="8"/>
      <c r="AI110" s="8"/>
      <c r="AJ110" s="8"/>
      <c r="AK110" s="8"/>
      <c r="AL110" s="8" t="s">
        <v>173</v>
      </c>
      <c r="AM110" s="8" t="s">
        <v>173</v>
      </c>
      <c r="AN110" s="8" t="s">
        <v>173</v>
      </c>
      <c r="AO110" s="6" t="s">
        <v>1181</v>
      </c>
      <c r="AP110" s="6" t="s">
        <v>1182</v>
      </c>
      <c r="AQ110" s="11" t="s">
        <v>341</v>
      </c>
      <c r="AR110" s="11" t="s">
        <v>1183</v>
      </c>
    </row>
    <row r="111" customFormat="false" ht="35.05" hidden="false" customHeight="false" outlineLevel="0" collapsed="false">
      <c r="A111" s="8" t="s">
        <v>1184</v>
      </c>
      <c r="B111" s="11" t="s">
        <v>1185</v>
      </c>
      <c r="C111" s="8" t="n">
        <v>2026</v>
      </c>
      <c r="D111" s="6" t="s">
        <v>1186</v>
      </c>
      <c r="E111" s="11" t="s">
        <v>1187</v>
      </c>
      <c r="F111" s="11" t="s">
        <v>214</v>
      </c>
      <c r="G111" s="12" t="s">
        <v>1188</v>
      </c>
      <c r="H111" s="13" t="s">
        <v>19</v>
      </c>
      <c r="I111" s="8" t="s">
        <v>68</v>
      </c>
      <c r="J111" s="6" t="s">
        <v>1189</v>
      </c>
      <c r="K111" s="11" t="s">
        <v>19</v>
      </c>
      <c r="L111" s="11" t="s">
        <v>1190</v>
      </c>
      <c r="M111" s="11" t="s">
        <v>239</v>
      </c>
      <c r="N111" s="11" t="s">
        <v>206</v>
      </c>
      <c r="O111" s="11" t="s">
        <v>206</v>
      </c>
      <c r="P111" s="8" t="s">
        <v>172</v>
      </c>
      <c r="Q111" s="8"/>
      <c r="R111" s="8"/>
      <c r="S111" s="8" t="s">
        <v>172</v>
      </c>
      <c r="T111" s="8"/>
      <c r="U111" s="8"/>
      <c r="V111" s="8"/>
      <c r="W111" s="8" t="str">
        <f aca="false">IF(AND(P111="X",OR(R111="X",S111="X",T111="X")),"Sí","No")</f>
        <v>Sí</v>
      </c>
      <c r="X111" s="8" t="s">
        <v>172</v>
      </c>
      <c r="Y111" s="8"/>
      <c r="Z111" s="8"/>
      <c r="AA111" s="8" t="s">
        <v>172</v>
      </c>
      <c r="AB111" s="8"/>
      <c r="AC111" s="8"/>
      <c r="AD111" s="8"/>
      <c r="AE111" s="8"/>
      <c r="AF111" s="8"/>
      <c r="AG111" s="8"/>
      <c r="AH111" s="8"/>
      <c r="AI111" s="8"/>
      <c r="AJ111" s="8"/>
      <c r="AK111" s="8"/>
      <c r="AL111" s="8" t="s">
        <v>173</v>
      </c>
      <c r="AM111" s="8" t="s">
        <v>173</v>
      </c>
      <c r="AN111" s="8" t="s">
        <v>173</v>
      </c>
      <c r="AO111" s="6" t="s">
        <v>1191</v>
      </c>
      <c r="AP111" s="6" t="s">
        <v>1192</v>
      </c>
      <c r="AQ111" s="11" t="s">
        <v>160</v>
      </c>
      <c r="AR111" s="11" t="s">
        <v>1193</v>
      </c>
    </row>
    <row r="112" customFormat="false" ht="23.85" hidden="false" customHeight="false" outlineLevel="0" collapsed="false">
      <c r="A112" s="8" t="s">
        <v>1194</v>
      </c>
      <c r="B112" s="11" t="s">
        <v>1195</v>
      </c>
      <c r="C112" s="8" t="n">
        <v>2025</v>
      </c>
      <c r="D112" s="6" t="s">
        <v>1196</v>
      </c>
      <c r="E112" s="11" t="s">
        <v>1197</v>
      </c>
      <c r="F112" s="11" t="s">
        <v>165</v>
      </c>
      <c r="G112" s="12" t="s">
        <v>1198</v>
      </c>
      <c r="H112" s="13" t="s">
        <v>19</v>
      </c>
      <c r="I112" s="8" t="s">
        <v>68</v>
      </c>
      <c r="J112" s="6" t="s">
        <v>1199</v>
      </c>
      <c r="K112" s="11" t="s">
        <v>19</v>
      </c>
      <c r="L112" s="11" t="s">
        <v>480</v>
      </c>
      <c r="M112" s="11" t="s">
        <v>184</v>
      </c>
      <c r="N112" s="11" t="s">
        <v>170</v>
      </c>
      <c r="O112" s="11" t="s">
        <v>171</v>
      </c>
      <c r="P112" s="8"/>
      <c r="Q112" s="8"/>
      <c r="R112" s="8"/>
      <c r="S112" s="8"/>
      <c r="T112" s="8" t="s">
        <v>172</v>
      </c>
      <c r="U112" s="8"/>
      <c r="V112" s="8"/>
      <c r="W112" s="8" t="str">
        <f aca="false">IF(AND(P112="X",OR(R112="X",S112="X",T112="X")),"Sí","No")</f>
        <v>No</v>
      </c>
      <c r="X112" s="8"/>
      <c r="Y112" s="8"/>
      <c r="Z112" s="8"/>
      <c r="AA112" s="8"/>
      <c r="AB112" s="8"/>
      <c r="AC112" s="8"/>
      <c r="AD112" s="8"/>
      <c r="AE112" s="8"/>
      <c r="AF112" s="8"/>
      <c r="AG112" s="8"/>
      <c r="AH112" s="8"/>
      <c r="AI112" s="8"/>
      <c r="AJ112" s="8"/>
      <c r="AK112" s="8"/>
      <c r="AL112" s="8" t="s">
        <v>173</v>
      </c>
      <c r="AM112" s="8" t="s">
        <v>310</v>
      </c>
      <c r="AN112" s="8" t="s">
        <v>173</v>
      </c>
      <c r="AO112" s="6" t="s">
        <v>170</v>
      </c>
      <c r="AP112" s="6" t="s">
        <v>1200</v>
      </c>
      <c r="AQ112" s="11" t="s">
        <v>160</v>
      </c>
      <c r="AR112" s="11" t="s">
        <v>1201</v>
      </c>
    </row>
    <row r="113" customFormat="false" ht="35.05" hidden="false" customHeight="false" outlineLevel="0" collapsed="false">
      <c r="A113" s="8" t="s">
        <v>1202</v>
      </c>
      <c r="B113" s="11" t="s">
        <v>1203</v>
      </c>
      <c r="C113" s="8" t="n">
        <v>2025</v>
      </c>
      <c r="D113" s="6" t="s">
        <v>1204</v>
      </c>
      <c r="E113" s="11" t="s">
        <v>384</v>
      </c>
      <c r="F113" s="11" t="s">
        <v>214</v>
      </c>
      <c r="G113" s="12" t="s">
        <v>1205</v>
      </c>
      <c r="H113" s="13" t="s">
        <v>19</v>
      </c>
      <c r="I113" s="8" t="s">
        <v>68</v>
      </c>
      <c r="J113" s="6" t="s">
        <v>1206</v>
      </c>
      <c r="K113" s="11" t="s">
        <v>19</v>
      </c>
      <c r="L113" s="11" t="s">
        <v>217</v>
      </c>
      <c r="M113" s="11" t="s">
        <v>218</v>
      </c>
      <c r="N113" s="11" t="s">
        <v>1207</v>
      </c>
      <c r="O113" s="11" t="s">
        <v>194</v>
      </c>
      <c r="P113" s="8" t="s">
        <v>172</v>
      </c>
      <c r="Q113" s="8" t="s">
        <v>172</v>
      </c>
      <c r="R113" s="8" t="s">
        <v>172</v>
      </c>
      <c r="S113" s="8"/>
      <c r="T113" s="8"/>
      <c r="U113" s="8"/>
      <c r="V113" s="8"/>
      <c r="W113" s="8" t="str">
        <f aca="false">IF(AND(P113="X",OR(R113="X",S113="X",T113="X")),"Sí","No")</f>
        <v>Sí</v>
      </c>
      <c r="X113" s="8"/>
      <c r="Y113" s="8"/>
      <c r="Z113" s="8"/>
      <c r="AA113" s="8"/>
      <c r="AB113" s="8"/>
      <c r="AC113" s="8"/>
      <c r="AD113" s="8"/>
      <c r="AE113" s="8"/>
      <c r="AF113" s="8"/>
      <c r="AG113" s="8"/>
      <c r="AH113" s="8"/>
      <c r="AI113" s="8"/>
      <c r="AJ113" s="8"/>
      <c r="AK113" s="8"/>
      <c r="AL113" s="8" t="s">
        <v>173</v>
      </c>
      <c r="AM113" s="8" t="s">
        <v>173</v>
      </c>
      <c r="AN113" s="8" t="s">
        <v>173</v>
      </c>
      <c r="AO113" s="6" t="s">
        <v>1208</v>
      </c>
      <c r="AP113" s="6" t="s">
        <v>1209</v>
      </c>
      <c r="AQ113" s="11" t="s">
        <v>160</v>
      </c>
      <c r="AR113" s="11" t="s">
        <v>1210</v>
      </c>
    </row>
    <row r="114" customFormat="false" ht="23.85" hidden="false" customHeight="false" outlineLevel="0" collapsed="false">
      <c r="A114" s="8" t="s">
        <v>1211</v>
      </c>
      <c r="B114" s="11" t="s">
        <v>1212</v>
      </c>
      <c r="C114" s="8" t="n">
        <v>2025</v>
      </c>
      <c r="D114" s="6" t="s">
        <v>1213</v>
      </c>
      <c r="E114" s="11" t="s">
        <v>266</v>
      </c>
      <c r="F114" s="11" t="s">
        <v>165</v>
      </c>
      <c r="G114" s="12" t="s">
        <v>1214</v>
      </c>
      <c r="H114" s="13" t="s">
        <v>19</v>
      </c>
      <c r="I114" s="8" t="s">
        <v>68</v>
      </c>
      <c r="J114" s="6" t="s">
        <v>1215</v>
      </c>
      <c r="K114" s="11" t="s">
        <v>19</v>
      </c>
      <c r="L114" s="11" t="s">
        <v>217</v>
      </c>
      <c r="M114" s="11" t="s">
        <v>218</v>
      </c>
      <c r="N114" s="11" t="s">
        <v>634</v>
      </c>
      <c r="O114" s="11" t="s">
        <v>300</v>
      </c>
      <c r="P114" s="8" t="s">
        <v>172</v>
      </c>
      <c r="Q114" s="8" t="s">
        <v>172</v>
      </c>
      <c r="R114" s="8"/>
      <c r="S114" s="8"/>
      <c r="T114" s="8"/>
      <c r="U114" s="8"/>
      <c r="V114" s="8"/>
      <c r="W114" s="8" t="str">
        <f aca="false">IF(AND(P114="X",OR(R114="X",S114="X",T114="X")),"Sí","No")</f>
        <v>No</v>
      </c>
      <c r="X114" s="8"/>
      <c r="Y114" s="8"/>
      <c r="Z114" s="8"/>
      <c r="AA114" s="8"/>
      <c r="AB114" s="8"/>
      <c r="AC114" s="8"/>
      <c r="AD114" s="8"/>
      <c r="AE114" s="8"/>
      <c r="AF114" s="8"/>
      <c r="AG114" s="8"/>
      <c r="AH114" s="8"/>
      <c r="AI114" s="8"/>
      <c r="AJ114" s="8"/>
      <c r="AK114" s="8"/>
      <c r="AL114" s="8" t="s">
        <v>173</v>
      </c>
      <c r="AM114" s="8" t="s">
        <v>173</v>
      </c>
      <c r="AN114" s="8" t="s">
        <v>173</v>
      </c>
      <c r="AO114" s="6" t="s">
        <v>1216</v>
      </c>
      <c r="AP114" s="6" t="s">
        <v>1217</v>
      </c>
      <c r="AQ114" s="11" t="s">
        <v>160</v>
      </c>
      <c r="AR114" s="11" t="s">
        <v>1218</v>
      </c>
    </row>
    <row r="115" customFormat="false" ht="23.85" hidden="false" customHeight="false" outlineLevel="0" collapsed="false">
      <c r="A115" s="8" t="s">
        <v>1219</v>
      </c>
      <c r="B115" s="11"/>
      <c r="C115" s="8" t="n">
        <v>2025</v>
      </c>
      <c r="D115" s="6" t="s">
        <v>1220</v>
      </c>
      <c r="E115" s="11" t="s">
        <v>189</v>
      </c>
      <c r="F115" s="11" t="s">
        <v>1031</v>
      </c>
      <c r="G115" s="11"/>
      <c r="H115" s="13" t="s">
        <v>21</v>
      </c>
      <c r="I115" s="8" t="s">
        <v>86</v>
      </c>
      <c r="J115" s="6" t="s">
        <v>1032</v>
      </c>
      <c r="K115" s="11" t="s">
        <v>20</v>
      </c>
      <c r="L115" s="11" t="s">
        <v>217</v>
      </c>
      <c r="M115" s="11" t="s">
        <v>218</v>
      </c>
      <c r="N115" s="11" t="s">
        <v>229</v>
      </c>
      <c r="O115" s="11" t="s">
        <v>171</v>
      </c>
      <c r="P115" s="8"/>
      <c r="Q115" s="8"/>
      <c r="R115" s="8"/>
      <c r="S115" s="8"/>
      <c r="T115" s="8"/>
      <c r="U115" s="8"/>
      <c r="V115" s="8"/>
      <c r="W115" s="8" t="str">
        <f aca="false">IF(AND(P115="X",OR(R115="X",S115="X",T115="X")),"Sí","No")</f>
        <v>No</v>
      </c>
      <c r="X115" s="8"/>
      <c r="Y115" s="8"/>
      <c r="Z115" s="8"/>
      <c r="AA115" s="8"/>
      <c r="AB115" s="8"/>
      <c r="AC115" s="8"/>
      <c r="AD115" s="8"/>
      <c r="AE115" s="8"/>
      <c r="AF115" s="8"/>
      <c r="AG115" s="8"/>
      <c r="AH115" s="8"/>
      <c r="AI115" s="8"/>
      <c r="AJ115" s="8"/>
      <c r="AK115" s="8"/>
      <c r="AL115" s="8" t="s">
        <v>173</v>
      </c>
      <c r="AM115" s="8" t="s">
        <v>173</v>
      </c>
      <c r="AN115" s="8" t="s">
        <v>173</v>
      </c>
      <c r="AO115" s="6" t="s">
        <v>230</v>
      </c>
      <c r="AP115" s="6" t="s">
        <v>230</v>
      </c>
      <c r="AQ115" s="11" t="s">
        <v>160</v>
      </c>
      <c r="AR115" s="11" t="s">
        <v>1221</v>
      </c>
    </row>
    <row r="116" customFormat="false" ht="23.85" hidden="false" customHeight="false" outlineLevel="0" collapsed="false">
      <c r="A116" s="8" t="s">
        <v>1222</v>
      </c>
      <c r="B116" s="11" t="s">
        <v>1223</v>
      </c>
      <c r="C116" s="8" t="n">
        <v>2025</v>
      </c>
      <c r="D116" s="6" t="s">
        <v>1224</v>
      </c>
      <c r="E116" s="11" t="s">
        <v>1225</v>
      </c>
      <c r="F116" s="11" t="s">
        <v>165</v>
      </c>
      <c r="G116" s="12" t="s">
        <v>1226</v>
      </c>
      <c r="H116" s="13" t="s">
        <v>19</v>
      </c>
      <c r="I116" s="8" t="s">
        <v>68</v>
      </c>
      <c r="J116" s="6" t="s">
        <v>1227</v>
      </c>
      <c r="K116" s="11" t="s">
        <v>19</v>
      </c>
      <c r="L116" s="11" t="s">
        <v>584</v>
      </c>
      <c r="M116" s="11" t="s">
        <v>205</v>
      </c>
      <c r="N116" s="11" t="s">
        <v>206</v>
      </c>
      <c r="O116" s="11" t="s">
        <v>206</v>
      </c>
      <c r="P116" s="8" t="s">
        <v>172</v>
      </c>
      <c r="Q116" s="8"/>
      <c r="R116" s="8"/>
      <c r="S116" s="8"/>
      <c r="T116" s="8"/>
      <c r="U116" s="8" t="s">
        <v>172</v>
      </c>
      <c r="V116" s="8"/>
      <c r="W116" s="8" t="str">
        <f aca="false">IF(AND(P116="X",OR(R116="X",S116="X",T116="X")),"Sí","No")</f>
        <v>No</v>
      </c>
      <c r="X116" s="8"/>
      <c r="Y116" s="8"/>
      <c r="Z116" s="8"/>
      <c r="AA116" s="8"/>
      <c r="AB116" s="8"/>
      <c r="AC116" s="8"/>
      <c r="AD116" s="8"/>
      <c r="AE116" s="8"/>
      <c r="AF116" s="8"/>
      <c r="AG116" s="8"/>
      <c r="AH116" s="8"/>
      <c r="AI116" s="8"/>
      <c r="AJ116" s="8"/>
      <c r="AK116" s="8"/>
      <c r="AL116" s="8" t="s">
        <v>310</v>
      </c>
      <c r="AM116" s="8" t="s">
        <v>173</v>
      </c>
      <c r="AN116" s="8" t="s">
        <v>173</v>
      </c>
      <c r="AO116" s="6" t="s">
        <v>1228</v>
      </c>
      <c r="AP116" s="6" t="s">
        <v>1229</v>
      </c>
      <c r="AQ116" s="11" t="s">
        <v>160</v>
      </c>
      <c r="AR116" s="11" t="s">
        <v>1230</v>
      </c>
    </row>
    <row r="117" customFormat="false" ht="23.85" hidden="false" customHeight="false" outlineLevel="0" collapsed="false">
      <c r="A117" s="8" t="s">
        <v>1231</v>
      </c>
      <c r="B117" s="11" t="s">
        <v>1232</v>
      </c>
      <c r="C117" s="8" t="n">
        <v>2023</v>
      </c>
      <c r="D117" s="6" t="s">
        <v>1233</v>
      </c>
      <c r="E117" s="11" t="s">
        <v>1234</v>
      </c>
      <c r="F117" s="11" t="s">
        <v>165</v>
      </c>
      <c r="G117" s="12" t="s">
        <v>1235</v>
      </c>
      <c r="H117" s="13" t="s">
        <v>19</v>
      </c>
      <c r="I117" s="8" t="s">
        <v>68</v>
      </c>
      <c r="J117" s="6" t="s">
        <v>1236</v>
      </c>
      <c r="K117" s="11" t="s">
        <v>19</v>
      </c>
      <c r="L117" s="11" t="s">
        <v>1237</v>
      </c>
      <c r="M117" s="11" t="s">
        <v>388</v>
      </c>
      <c r="N117" s="11" t="s">
        <v>170</v>
      </c>
      <c r="O117" s="11" t="s">
        <v>171</v>
      </c>
      <c r="P117" s="8" t="s">
        <v>172</v>
      </c>
      <c r="Q117" s="8"/>
      <c r="R117" s="8" t="s">
        <v>172</v>
      </c>
      <c r="S117" s="8"/>
      <c r="T117" s="8"/>
      <c r="U117" s="8"/>
      <c r="V117" s="8"/>
      <c r="W117" s="8" t="str">
        <f aca="false">IF(AND(P117="X",OR(R117="X",S117="X",T117="X")),"Sí","No")</f>
        <v>Sí</v>
      </c>
      <c r="X117" s="8" t="s">
        <v>172</v>
      </c>
      <c r="Y117" s="8" t="s">
        <v>172</v>
      </c>
      <c r="Z117" s="8" t="s">
        <v>172</v>
      </c>
      <c r="AA117" s="8" t="s">
        <v>172</v>
      </c>
      <c r="AB117" s="8" t="s">
        <v>172</v>
      </c>
      <c r="AC117" s="8"/>
      <c r="AD117" s="8"/>
      <c r="AE117" s="8"/>
      <c r="AF117" s="8"/>
      <c r="AG117" s="8"/>
      <c r="AH117" s="8"/>
      <c r="AI117" s="8"/>
      <c r="AJ117" s="8"/>
      <c r="AK117" s="8"/>
      <c r="AL117" s="8" t="s">
        <v>173</v>
      </c>
      <c r="AM117" s="8" t="s">
        <v>173</v>
      </c>
      <c r="AN117" s="8" t="s">
        <v>173</v>
      </c>
      <c r="AO117" s="6" t="s">
        <v>170</v>
      </c>
      <c r="AP117" s="6" t="s">
        <v>279</v>
      </c>
      <c r="AQ117" s="11" t="s">
        <v>160</v>
      </c>
      <c r="AR117" s="11" t="s">
        <v>1238</v>
      </c>
    </row>
    <row r="118" customFormat="false" ht="23.85" hidden="false" customHeight="false" outlineLevel="0" collapsed="false">
      <c r="A118" s="8" t="s">
        <v>1239</v>
      </c>
      <c r="B118" s="11" t="s">
        <v>1240</v>
      </c>
      <c r="C118" s="8" t="n">
        <v>2024</v>
      </c>
      <c r="D118" s="6" t="s">
        <v>1241</v>
      </c>
      <c r="E118" s="11" t="s">
        <v>1242</v>
      </c>
      <c r="F118" s="11" t="s">
        <v>165</v>
      </c>
      <c r="G118" s="12" t="s">
        <v>1243</v>
      </c>
      <c r="H118" s="13" t="s">
        <v>19</v>
      </c>
      <c r="I118" s="8" t="s">
        <v>68</v>
      </c>
      <c r="J118" s="6" t="s">
        <v>1244</v>
      </c>
      <c r="K118" s="11" t="s">
        <v>20</v>
      </c>
      <c r="L118" s="11" t="s">
        <v>480</v>
      </c>
      <c r="M118" s="11" t="s">
        <v>184</v>
      </c>
      <c r="N118" s="11" t="s">
        <v>206</v>
      </c>
      <c r="O118" s="11" t="s">
        <v>206</v>
      </c>
      <c r="P118" s="8" t="s">
        <v>172</v>
      </c>
      <c r="Q118" s="8"/>
      <c r="R118" s="8"/>
      <c r="S118" s="8" t="s">
        <v>172</v>
      </c>
      <c r="T118" s="8"/>
      <c r="U118" s="8"/>
      <c r="V118" s="8"/>
      <c r="W118" s="8" t="str">
        <f aca="false">IF(AND(P118="X",OR(R118="X",S118="X",T118="X")),"Sí","No")</f>
        <v>Sí</v>
      </c>
      <c r="X118" s="8"/>
      <c r="Y118" s="8"/>
      <c r="Z118" s="8"/>
      <c r="AA118" s="8" t="s">
        <v>172</v>
      </c>
      <c r="AB118" s="8"/>
      <c r="AC118" s="8"/>
      <c r="AD118" s="8"/>
      <c r="AE118" s="8"/>
      <c r="AF118" s="8"/>
      <c r="AG118" s="8"/>
      <c r="AH118" s="8"/>
      <c r="AI118" s="8"/>
      <c r="AJ118" s="8"/>
      <c r="AK118" s="8"/>
      <c r="AL118" s="8" t="s">
        <v>173</v>
      </c>
      <c r="AM118" s="8" t="s">
        <v>173</v>
      </c>
      <c r="AN118" s="8" t="s">
        <v>173</v>
      </c>
      <c r="AO118" s="6" t="s">
        <v>1245</v>
      </c>
      <c r="AP118" s="6" t="s">
        <v>1246</v>
      </c>
      <c r="AQ118" s="11" t="s">
        <v>160</v>
      </c>
      <c r="AR118" s="11" t="s">
        <v>1247</v>
      </c>
    </row>
    <row r="119" customFormat="false" ht="23.85" hidden="false" customHeight="false" outlineLevel="0" collapsed="false">
      <c r="A119" s="8" t="s">
        <v>1248</v>
      </c>
      <c r="B119" s="11" t="s">
        <v>1249</v>
      </c>
      <c r="C119" s="8" t="n">
        <v>2023</v>
      </c>
      <c r="D119" s="6" t="s">
        <v>1250</v>
      </c>
      <c r="E119" s="11" t="s">
        <v>487</v>
      </c>
      <c r="F119" s="11" t="s">
        <v>165</v>
      </c>
      <c r="G119" s="12" t="s">
        <v>1251</v>
      </c>
      <c r="H119" s="13" t="s">
        <v>19</v>
      </c>
      <c r="I119" s="8" t="s">
        <v>68</v>
      </c>
      <c r="J119" s="6" t="s">
        <v>1252</v>
      </c>
      <c r="K119" s="11" t="s">
        <v>19</v>
      </c>
      <c r="L119" s="11" t="s">
        <v>480</v>
      </c>
      <c r="M119" s="11" t="s">
        <v>184</v>
      </c>
      <c r="N119" s="11" t="s">
        <v>170</v>
      </c>
      <c r="O119" s="11" t="s">
        <v>171</v>
      </c>
      <c r="P119" s="8"/>
      <c r="Q119" s="8"/>
      <c r="R119" s="8" t="s">
        <v>172</v>
      </c>
      <c r="S119" s="8"/>
      <c r="T119" s="8"/>
      <c r="U119" s="8"/>
      <c r="V119" s="8" t="s">
        <v>172</v>
      </c>
      <c r="W119" s="8" t="str">
        <f aca="false">IF(AND(P119="X",OR(R119="X",S119="X",T119="X")),"Sí","No")</f>
        <v>No</v>
      </c>
      <c r="X119" s="8"/>
      <c r="Y119" s="8"/>
      <c r="Z119" s="8"/>
      <c r="AA119" s="8"/>
      <c r="AB119" s="8"/>
      <c r="AC119" s="8"/>
      <c r="AD119" s="8"/>
      <c r="AE119" s="8"/>
      <c r="AF119" s="8"/>
      <c r="AG119" s="8"/>
      <c r="AH119" s="8"/>
      <c r="AI119" s="8"/>
      <c r="AJ119" s="8"/>
      <c r="AK119" s="8"/>
      <c r="AL119" s="8" t="s">
        <v>173</v>
      </c>
      <c r="AM119" s="8" t="s">
        <v>310</v>
      </c>
      <c r="AN119" s="8" t="s">
        <v>173</v>
      </c>
      <c r="AO119" s="6" t="s">
        <v>170</v>
      </c>
      <c r="AP119" s="6" t="s">
        <v>1253</v>
      </c>
      <c r="AQ119" s="11" t="s">
        <v>160</v>
      </c>
      <c r="AR119" s="11" t="s">
        <v>1254</v>
      </c>
    </row>
    <row r="120" customFormat="false" ht="35.05" hidden="false" customHeight="false" outlineLevel="0" collapsed="false">
      <c r="A120" s="8" t="s">
        <v>1255</v>
      </c>
      <c r="B120" s="11" t="s">
        <v>1256</v>
      </c>
      <c r="C120" s="8" t="n">
        <v>2023</v>
      </c>
      <c r="D120" s="6" t="s">
        <v>1257</v>
      </c>
      <c r="E120" s="11" t="s">
        <v>1258</v>
      </c>
      <c r="F120" s="11" t="s">
        <v>165</v>
      </c>
      <c r="G120" s="12" t="s">
        <v>1259</v>
      </c>
      <c r="H120" s="13" t="s">
        <v>19</v>
      </c>
      <c r="I120" s="8" t="s">
        <v>68</v>
      </c>
      <c r="J120" s="6" t="s">
        <v>1260</v>
      </c>
      <c r="K120" s="11" t="s">
        <v>19</v>
      </c>
      <c r="L120" s="11" t="s">
        <v>961</v>
      </c>
      <c r="M120" s="11" t="s">
        <v>388</v>
      </c>
      <c r="N120" s="11" t="s">
        <v>229</v>
      </c>
      <c r="O120" s="11" t="s">
        <v>171</v>
      </c>
      <c r="P120" s="8" t="s">
        <v>172</v>
      </c>
      <c r="Q120" s="8" t="s">
        <v>172</v>
      </c>
      <c r="R120" s="8"/>
      <c r="S120" s="8"/>
      <c r="T120" s="8"/>
      <c r="U120" s="8" t="s">
        <v>172</v>
      </c>
      <c r="V120" s="8"/>
      <c r="W120" s="8" t="str">
        <f aca="false">IF(AND(P120="X",OR(R120="X",S120="X",T120="X")),"Sí","No")</f>
        <v>No</v>
      </c>
      <c r="X120" s="8"/>
      <c r="Y120" s="8"/>
      <c r="Z120" s="8"/>
      <c r="AA120" s="8"/>
      <c r="AB120" s="8" t="s">
        <v>172</v>
      </c>
      <c r="AC120" s="8"/>
      <c r="AD120" s="8"/>
      <c r="AE120" s="8"/>
      <c r="AF120" s="8"/>
      <c r="AG120" s="8"/>
      <c r="AH120" s="8"/>
      <c r="AI120" s="8"/>
      <c r="AJ120" s="8"/>
      <c r="AK120" s="8"/>
      <c r="AL120" s="8" t="s">
        <v>173</v>
      </c>
      <c r="AM120" s="8" t="s">
        <v>173</v>
      </c>
      <c r="AN120" s="8" t="s">
        <v>173</v>
      </c>
      <c r="AO120" s="6" t="s">
        <v>230</v>
      </c>
      <c r="AP120" s="6" t="s">
        <v>230</v>
      </c>
      <c r="AQ120" s="11" t="s">
        <v>160</v>
      </c>
      <c r="AR120" s="11" t="s">
        <v>1261</v>
      </c>
    </row>
    <row r="121" customFormat="false" ht="23.85" hidden="false" customHeight="false" outlineLevel="0" collapsed="false">
      <c r="A121" s="8" t="s">
        <v>1262</v>
      </c>
      <c r="B121" s="11" t="s">
        <v>1263</v>
      </c>
      <c r="C121" s="8" t="n">
        <v>2025</v>
      </c>
      <c r="D121" s="6" t="s">
        <v>1264</v>
      </c>
      <c r="E121" s="11" t="s">
        <v>1265</v>
      </c>
      <c r="F121" s="11" t="s">
        <v>165</v>
      </c>
      <c r="G121" s="12" t="s">
        <v>1266</v>
      </c>
      <c r="H121" s="13" t="s">
        <v>19</v>
      </c>
      <c r="I121" s="8" t="s">
        <v>68</v>
      </c>
      <c r="J121" s="6" t="s">
        <v>1267</v>
      </c>
      <c r="K121" s="11" t="s">
        <v>19</v>
      </c>
      <c r="L121" s="11" t="s">
        <v>1268</v>
      </c>
      <c r="M121" s="11" t="s">
        <v>251</v>
      </c>
      <c r="N121" s="11" t="s">
        <v>229</v>
      </c>
      <c r="O121" s="11" t="s">
        <v>171</v>
      </c>
      <c r="P121" s="8" t="s">
        <v>172</v>
      </c>
      <c r="Q121" s="8"/>
      <c r="R121" s="8"/>
      <c r="S121" s="8"/>
      <c r="T121" s="8" t="s">
        <v>172</v>
      </c>
      <c r="U121" s="8"/>
      <c r="V121" s="8"/>
      <c r="W121" s="8" t="str">
        <f aca="false">IF(AND(P121="X",OR(R121="X",S121="X",T121="X")),"Sí","No")</f>
        <v>Sí</v>
      </c>
      <c r="X121" s="8"/>
      <c r="Y121" s="8"/>
      <c r="Z121" s="8"/>
      <c r="AA121" s="8"/>
      <c r="AB121" s="8"/>
      <c r="AC121" s="8"/>
      <c r="AD121" s="8"/>
      <c r="AE121" s="8"/>
      <c r="AF121" s="8"/>
      <c r="AG121" s="8" t="s">
        <v>172</v>
      </c>
      <c r="AH121" s="8"/>
      <c r="AI121" s="8"/>
      <c r="AJ121" s="8"/>
      <c r="AK121" s="8"/>
      <c r="AL121" s="8" t="s">
        <v>173</v>
      </c>
      <c r="AM121" s="8" t="s">
        <v>173</v>
      </c>
      <c r="AN121" s="8" t="s">
        <v>173</v>
      </c>
      <c r="AO121" s="6" t="s">
        <v>1269</v>
      </c>
      <c r="AP121" s="6" t="s">
        <v>1270</v>
      </c>
      <c r="AQ121" s="11" t="s">
        <v>160</v>
      </c>
      <c r="AR121" s="11" t="s">
        <v>1271</v>
      </c>
    </row>
    <row r="122" customFormat="false" ht="46.25" hidden="false" customHeight="false" outlineLevel="0" collapsed="false">
      <c r="A122" s="8" t="s">
        <v>1272</v>
      </c>
      <c r="B122" s="11" t="s">
        <v>1273</v>
      </c>
      <c r="C122" s="8" t="n">
        <v>2025</v>
      </c>
      <c r="D122" s="6" t="s">
        <v>1274</v>
      </c>
      <c r="E122" s="11" t="s">
        <v>189</v>
      </c>
      <c r="F122" s="11" t="s">
        <v>165</v>
      </c>
      <c r="G122" s="12" t="s">
        <v>1275</v>
      </c>
      <c r="H122" s="13" t="s">
        <v>19</v>
      </c>
      <c r="I122" s="8" t="s">
        <v>68</v>
      </c>
      <c r="J122" s="6" t="s">
        <v>1276</v>
      </c>
      <c r="K122" s="11" t="s">
        <v>19</v>
      </c>
      <c r="L122" s="11" t="s">
        <v>217</v>
      </c>
      <c r="M122" s="11" t="s">
        <v>218</v>
      </c>
      <c r="N122" s="11" t="s">
        <v>1277</v>
      </c>
      <c r="O122" s="11" t="s">
        <v>194</v>
      </c>
      <c r="P122" s="8" t="s">
        <v>172</v>
      </c>
      <c r="Q122" s="8" t="s">
        <v>172</v>
      </c>
      <c r="R122" s="8"/>
      <c r="S122" s="8"/>
      <c r="T122" s="8" t="s">
        <v>172</v>
      </c>
      <c r="U122" s="8"/>
      <c r="V122" s="8"/>
      <c r="W122" s="8" t="str">
        <f aca="false">IF(AND(P122="X",OR(R122="X",S122="X",T122="X")),"Sí","No")</f>
        <v>Sí</v>
      </c>
      <c r="X122" s="8"/>
      <c r="Y122" s="8"/>
      <c r="Z122" s="8"/>
      <c r="AA122" s="8"/>
      <c r="AB122" s="8"/>
      <c r="AC122" s="8"/>
      <c r="AD122" s="8" t="s">
        <v>172</v>
      </c>
      <c r="AE122" s="8"/>
      <c r="AF122" s="8"/>
      <c r="AG122" s="8"/>
      <c r="AH122" s="8"/>
      <c r="AI122" s="8"/>
      <c r="AJ122" s="8"/>
      <c r="AK122" s="8"/>
      <c r="AL122" s="8" t="s">
        <v>173</v>
      </c>
      <c r="AM122" s="8" t="s">
        <v>173</v>
      </c>
      <c r="AN122" s="8" t="s">
        <v>173</v>
      </c>
      <c r="AO122" s="6" t="s">
        <v>1278</v>
      </c>
      <c r="AP122" s="6" t="s">
        <v>1279</v>
      </c>
      <c r="AQ122" s="11" t="s">
        <v>160</v>
      </c>
      <c r="AR122" s="11" t="s">
        <v>1280</v>
      </c>
    </row>
    <row r="123" customFormat="false" ht="23.85" hidden="false" customHeight="false" outlineLevel="0" collapsed="false">
      <c r="A123" s="8" t="s">
        <v>1281</v>
      </c>
      <c r="B123" s="11" t="s">
        <v>1282</v>
      </c>
      <c r="C123" s="8" t="n">
        <v>2026</v>
      </c>
      <c r="D123" s="6" t="s">
        <v>1283</v>
      </c>
      <c r="E123" s="11" t="s">
        <v>1284</v>
      </c>
      <c r="F123" s="11" t="s">
        <v>214</v>
      </c>
      <c r="G123" s="12" t="s">
        <v>1285</v>
      </c>
      <c r="H123" s="13" t="s">
        <v>21</v>
      </c>
      <c r="I123" s="8" t="s">
        <v>89</v>
      </c>
      <c r="J123" s="6" t="s">
        <v>1286</v>
      </c>
      <c r="K123" s="11" t="s">
        <v>20</v>
      </c>
      <c r="L123" s="11" t="s">
        <v>1287</v>
      </c>
      <c r="M123" s="11" t="s">
        <v>239</v>
      </c>
      <c r="N123" s="11" t="s">
        <v>593</v>
      </c>
      <c r="O123" s="11" t="s">
        <v>194</v>
      </c>
      <c r="P123" s="8" t="s">
        <v>172</v>
      </c>
      <c r="Q123" s="8"/>
      <c r="R123" s="8"/>
      <c r="S123" s="8" t="s">
        <v>172</v>
      </c>
      <c r="T123" s="8" t="s">
        <v>172</v>
      </c>
      <c r="U123" s="8"/>
      <c r="V123" s="8"/>
      <c r="W123" s="8" t="str">
        <f aca="false">IF(AND(P123="X",OR(R123="X",S123="X",T123="X")),"Sí","No")</f>
        <v>Sí</v>
      </c>
      <c r="X123" s="8"/>
      <c r="Y123" s="8"/>
      <c r="Z123" s="8"/>
      <c r="AA123" s="8"/>
      <c r="AB123" s="8"/>
      <c r="AC123" s="8"/>
      <c r="AD123" s="8"/>
      <c r="AE123" s="8"/>
      <c r="AF123" s="8"/>
      <c r="AG123" s="8"/>
      <c r="AH123" s="8"/>
      <c r="AI123" s="8"/>
      <c r="AJ123" s="8"/>
      <c r="AK123" s="8"/>
      <c r="AL123" s="8" t="s">
        <v>173</v>
      </c>
      <c r="AM123" s="8" t="s">
        <v>173</v>
      </c>
      <c r="AN123" s="8" t="s">
        <v>173</v>
      </c>
      <c r="AO123" s="6" t="s">
        <v>1288</v>
      </c>
      <c r="AP123" s="6" t="s">
        <v>1289</v>
      </c>
      <c r="AQ123" s="11" t="s">
        <v>160</v>
      </c>
      <c r="AR123" s="11" t="s">
        <v>1290</v>
      </c>
    </row>
    <row r="124" customFormat="false" ht="23.85" hidden="false" customHeight="false" outlineLevel="0" collapsed="false">
      <c r="A124" s="8" t="s">
        <v>1291</v>
      </c>
      <c r="B124" s="11" t="s">
        <v>1292</v>
      </c>
      <c r="C124" s="8" t="n">
        <v>2025</v>
      </c>
      <c r="D124" s="6" t="s">
        <v>1293</v>
      </c>
      <c r="E124" s="11" t="s">
        <v>1294</v>
      </c>
      <c r="F124" s="11" t="s">
        <v>165</v>
      </c>
      <c r="G124" s="12" t="s">
        <v>1295</v>
      </c>
      <c r="H124" s="13" t="s">
        <v>21</v>
      </c>
      <c r="I124" s="8" t="s">
        <v>89</v>
      </c>
      <c r="J124" s="6" t="s">
        <v>1296</v>
      </c>
      <c r="K124" s="11" t="s">
        <v>19</v>
      </c>
      <c r="L124" s="11" t="s">
        <v>1297</v>
      </c>
      <c r="M124" s="11" t="s">
        <v>388</v>
      </c>
      <c r="N124" s="11" t="s">
        <v>1298</v>
      </c>
      <c r="O124" s="11" t="s">
        <v>194</v>
      </c>
      <c r="P124" s="8" t="s">
        <v>172</v>
      </c>
      <c r="Q124" s="8"/>
      <c r="R124" s="8"/>
      <c r="S124" s="8" t="s">
        <v>172</v>
      </c>
      <c r="T124" s="8"/>
      <c r="U124" s="8"/>
      <c r="V124" s="8"/>
      <c r="W124" s="8" t="str">
        <f aca="false">IF(AND(P124="X",OR(R124="X",S124="X",T124="X")),"Sí","No")</f>
        <v>Sí</v>
      </c>
      <c r="X124" s="8"/>
      <c r="Y124" s="8"/>
      <c r="Z124" s="8"/>
      <c r="AA124" s="8"/>
      <c r="AB124" s="8"/>
      <c r="AC124" s="8"/>
      <c r="AD124" s="8"/>
      <c r="AE124" s="8"/>
      <c r="AF124" s="8"/>
      <c r="AG124" s="8"/>
      <c r="AH124" s="8"/>
      <c r="AI124" s="8"/>
      <c r="AJ124" s="8"/>
      <c r="AK124" s="8"/>
      <c r="AL124" s="8" t="s">
        <v>173</v>
      </c>
      <c r="AM124" s="8" t="s">
        <v>173</v>
      </c>
      <c r="AN124" s="8" t="s">
        <v>173</v>
      </c>
      <c r="AO124" s="6" t="s">
        <v>1299</v>
      </c>
      <c r="AP124" s="6" t="s">
        <v>1300</v>
      </c>
      <c r="AQ124" s="11" t="s">
        <v>160</v>
      </c>
      <c r="AR124" s="11" t="s">
        <v>1301</v>
      </c>
    </row>
    <row r="125" customFormat="false" ht="35.05" hidden="false" customHeight="false" outlineLevel="0" collapsed="false">
      <c r="A125" s="8" t="s">
        <v>1302</v>
      </c>
      <c r="B125" s="11" t="s">
        <v>1303</v>
      </c>
      <c r="C125" s="8" t="n">
        <v>2025</v>
      </c>
      <c r="D125" s="6" t="s">
        <v>1304</v>
      </c>
      <c r="E125" s="11" t="s">
        <v>384</v>
      </c>
      <c r="F125" s="11" t="s">
        <v>214</v>
      </c>
      <c r="G125" s="12" t="s">
        <v>1305</v>
      </c>
      <c r="H125" s="13" t="s">
        <v>19</v>
      </c>
      <c r="I125" s="8" t="s">
        <v>68</v>
      </c>
      <c r="J125" s="6" t="s">
        <v>1306</v>
      </c>
      <c r="K125" s="11" t="s">
        <v>19</v>
      </c>
      <c r="L125" s="11" t="s">
        <v>1307</v>
      </c>
      <c r="M125" s="11" t="s">
        <v>184</v>
      </c>
      <c r="N125" s="11" t="s">
        <v>593</v>
      </c>
      <c r="O125" s="11" t="s">
        <v>194</v>
      </c>
      <c r="P125" s="8"/>
      <c r="Q125" s="8"/>
      <c r="R125" s="8"/>
      <c r="S125" s="8"/>
      <c r="T125" s="8" t="s">
        <v>172</v>
      </c>
      <c r="U125" s="8"/>
      <c r="V125" s="8"/>
      <c r="W125" s="8" t="str">
        <f aca="false">IF(AND(P125="X",OR(R125="X",S125="X",T125="X")),"Sí","No")</f>
        <v>No</v>
      </c>
      <c r="X125" s="8"/>
      <c r="Y125" s="8"/>
      <c r="Z125" s="8"/>
      <c r="AA125" s="8"/>
      <c r="AB125" s="8"/>
      <c r="AC125" s="8"/>
      <c r="AD125" s="8"/>
      <c r="AE125" s="8"/>
      <c r="AF125" s="8"/>
      <c r="AG125" s="8"/>
      <c r="AH125" s="8"/>
      <c r="AI125" s="8"/>
      <c r="AJ125" s="8"/>
      <c r="AK125" s="8"/>
      <c r="AL125" s="8" t="s">
        <v>173</v>
      </c>
      <c r="AM125" s="8" t="s">
        <v>173</v>
      </c>
      <c r="AN125" s="8" t="s">
        <v>173</v>
      </c>
      <c r="AO125" s="6" t="s">
        <v>1308</v>
      </c>
      <c r="AP125" s="6" t="s">
        <v>1309</v>
      </c>
      <c r="AQ125" s="11" t="s">
        <v>160</v>
      </c>
      <c r="AR125" s="11" t="s">
        <v>1310</v>
      </c>
    </row>
    <row r="126" customFormat="false" ht="23.85" hidden="false" customHeight="false" outlineLevel="0" collapsed="false">
      <c r="A126" s="8" t="s">
        <v>1311</v>
      </c>
      <c r="B126" s="11" t="s">
        <v>1312</v>
      </c>
      <c r="C126" s="8" t="n">
        <v>2023</v>
      </c>
      <c r="D126" s="6" t="s">
        <v>1313</v>
      </c>
      <c r="E126" s="11" t="s">
        <v>1314</v>
      </c>
      <c r="F126" s="11" t="s">
        <v>165</v>
      </c>
      <c r="G126" s="12" t="s">
        <v>1315</v>
      </c>
      <c r="H126" s="13" t="s">
        <v>19</v>
      </c>
      <c r="I126" s="8" t="s">
        <v>68</v>
      </c>
      <c r="J126" s="6" t="s">
        <v>1316</v>
      </c>
      <c r="K126" s="11" t="s">
        <v>19</v>
      </c>
      <c r="L126" s="11" t="s">
        <v>1317</v>
      </c>
      <c r="M126" s="11" t="s">
        <v>470</v>
      </c>
      <c r="N126" s="11" t="s">
        <v>170</v>
      </c>
      <c r="O126" s="11" t="s">
        <v>171</v>
      </c>
      <c r="P126" s="8"/>
      <c r="Q126" s="8"/>
      <c r="R126" s="8" t="s">
        <v>172</v>
      </c>
      <c r="S126" s="8" t="s">
        <v>172</v>
      </c>
      <c r="T126" s="8"/>
      <c r="U126" s="8"/>
      <c r="V126" s="8"/>
      <c r="W126" s="8" t="str">
        <f aca="false">IF(AND(P126="X",OR(R126="X",S126="X",T126="X")),"Sí","No")</f>
        <v>No</v>
      </c>
      <c r="X126" s="8"/>
      <c r="Y126" s="8" t="s">
        <v>172</v>
      </c>
      <c r="Z126" s="8"/>
      <c r="AA126" s="8"/>
      <c r="AB126" s="8" t="s">
        <v>172</v>
      </c>
      <c r="AC126" s="8" t="s">
        <v>172</v>
      </c>
      <c r="AD126" s="8"/>
      <c r="AE126" s="8"/>
      <c r="AF126" s="8"/>
      <c r="AG126" s="8"/>
      <c r="AH126" s="8"/>
      <c r="AI126" s="8"/>
      <c r="AJ126" s="8"/>
      <c r="AK126" s="8"/>
      <c r="AL126" s="8" t="s">
        <v>173</v>
      </c>
      <c r="AM126" s="8" t="s">
        <v>173</v>
      </c>
      <c r="AN126" s="8" t="s">
        <v>173</v>
      </c>
      <c r="AO126" s="6" t="s">
        <v>170</v>
      </c>
      <c r="AP126" s="6" t="s">
        <v>279</v>
      </c>
      <c r="AQ126" s="11" t="s">
        <v>160</v>
      </c>
      <c r="AR126" s="11" t="s">
        <v>1318</v>
      </c>
    </row>
    <row r="127" customFormat="false" ht="23.85" hidden="false" customHeight="false" outlineLevel="0" collapsed="false">
      <c r="A127" s="8" t="s">
        <v>1319</v>
      </c>
      <c r="B127" s="11" t="s">
        <v>1320</v>
      </c>
      <c r="C127" s="8" t="n">
        <v>2026</v>
      </c>
      <c r="D127" s="6" t="s">
        <v>1321</v>
      </c>
      <c r="E127" s="11" t="s">
        <v>180</v>
      </c>
      <c r="F127" s="11" t="s">
        <v>165</v>
      </c>
      <c r="G127" s="12" t="s">
        <v>1322</v>
      </c>
      <c r="H127" s="13" t="s">
        <v>19</v>
      </c>
      <c r="I127" s="8" t="s">
        <v>68</v>
      </c>
      <c r="J127" s="6" t="s">
        <v>1323</v>
      </c>
      <c r="K127" s="11" t="s">
        <v>19</v>
      </c>
      <c r="L127" s="11" t="s">
        <v>1324</v>
      </c>
      <c r="M127" s="11" t="s">
        <v>184</v>
      </c>
      <c r="N127" s="11" t="s">
        <v>170</v>
      </c>
      <c r="O127" s="11" t="s">
        <v>171</v>
      </c>
      <c r="P127" s="8" t="s">
        <v>172</v>
      </c>
      <c r="Q127" s="8"/>
      <c r="R127" s="8" t="s">
        <v>172</v>
      </c>
      <c r="S127" s="8"/>
      <c r="T127" s="8"/>
      <c r="U127" s="8"/>
      <c r="V127" s="8"/>
      <c r="W127" s="8" t="str">
        <f aca="false">IF(AND(P127="X",OR(R127="X",S127="X",T127="X")),"Sí","No")</f>
        <v>Sí</v>
      </c>
      <c r="X127" s="8" t="s">
        <v>172</v>
      </c>
      <c r="Y127" s="8"/>
      <c r="Z127" s="8"/>
      <c r="AA127" s="8"/>
      <c r="AB127" s="8" t="s">
        <v>172</v>
      </c>
      <c r="AC127" s="8"/>
      <c r="AD127" s="8" t="s">
        <v>172</v>
      </c>
      <c r="AE127" s="8"/>
      <c r="AF127" s="8"/>
      <c r="AG127" s="8"/>
      <c r="AH127" s="8"/>
      <c r="AI127" s="8"/>
      <c r="AJ127" s="8"/>
      <c r="AK127" s="8"/>
      <c r="AL127" s="8" t="s">
        <v>173</v>
      </c>
      <c r="AM127" s="8" t="s">
        <v>173</v>
      </c>
      <c r="AN127" s="8" t="s">
        <v>173</v>
      </c>
      <c r="AO127" s="6" t="s">
        <v>1325</v>
      </c>
      <c r="AP127" s="6" t="s">
        <v>1326</v>
      </c>
      <c r="AQ127" s="11" t="s">
        <v>160</v>
      </c>
      <c r="AR127" s="11" t="s">
        <v>1327</v>
      </c>
    </row>
  </sheetData>
  <autoFilter ref="A1:AR127"/>
  <conditionalFormatting sqref="H2:H127">
    <cfRule type="expression" priority="2" aboveAverage="0" equalAverage="0" bottom="0" percent="0" rank="0" text="" dxfId="8">
      <formula>H2="Núcleo"</formula>
    </cfRule>
    <cfRule type="expression" priority="3" aboveAverage="0" equalAverage="0" bottom="0" percent="0" rank="0" text="" dxfId="9">
      <formula>H2="Complementario"</formula>
    </cfRule>
    <cfRule type="expression" priority="4" aboveAverage="0" equalAverage="0" bottom="0" percent="0" rank="0" text="" dxfId="10">
      <formula>H2="Excluido"</formula>
    </cfRule>
  </conditionalFormatting>
  <conditionalFormatting sqref="K2:K127">
    <cfRule type="expression" priority="5" aboveAverage="0" equalAverage="0" bottom="0" percent="0" rank="0" text="" dxfId="11">
      <formula>K2&lt;&gt;H2</formula>
    </cfRule>
  </conditionalFormatting>
  <hyperlinks>
    <hyperlink ref="G2" r:id="rId1" display="10.1109/GSEACT68539.2026.11620580"/>
    <hyperlink ref="G3" r:id="rId2" display="10.1007/978-981-96-3361-6_20"/>
    <hyperlink ref="G4" r:id="rId3" display="10.1007/978-3-032-31319-5_23"/>
    <hyperlink ref="G5" r:id="rId4" display="10.1145/3805689.3806747"/>
    <hyperlink ref="G6" r:id="rId5" display="10.1145/3724118"/>
    <hyperlink ref="G7" r:id="rId6" display="10.3389/fnume.2025.1671281"/>
    <hyperlink ref="G8" r:id="rId7" display="10.2478/jazcas-2025-0017"/>
    <hyperlink ref="G9" r:id="rId8" display="10.1109/ICPCSN65854.2025.11034933"/>
    <hyperlink ref="G10" r:id="rId9" display="10.2478/jee-2025-0028"/>
    <hyperlink ref="G11" r:id="rId10" display="10.1007/978-981-97-9437-9_2"/>
    <hyperlink ref="G12" r:id="rId11" display="10.1007/978-3-031-79032-4_22"/>
    <hyperlink ref="G13" r:id="rId12" display="10.1016/j.softx.2026.102703"/>
    <hyperlink ref="G14" r:id="rId13" display="10.26342/2026-76-16"/>
    <hyperlink ref="G15" r:id="rId14" display="10.1109/TKDE.2021.3076632"/>
    <hyperlink ref="G16" r:id="rId15" display="10.1109/ICPCSN68523.2026.11543660"/>
    <hyperlink ref="G17" r:id="rId16" display="10.1109/BDPC69980.2026.11608232"/>
    <hyperlink ref="G18" r:id="rId17" display="10.1145/3786156.3788578"/>
    <hyperlink ref="G19" r:id="rId18" display="10.3389/frai.2025.1585260"/>
    <hyperlink ref="G20" r:id="rId19" display="10.3389/fdgth.2025.1497130"/>
    <hyperlink ref="G21" r:id="rId20" display="10.1109/ICAECA63854.2025.11012305"/>
    <hyperlink ref="G22" r:id="rId21" display="10.1007/978-3-032-14350-1_14"/>
    <hyperlink ref="G23" r:id="rId22" display="10.3390/electronics14183725"/>
    <hyperlink ref="G24" r:id="rId23" display="10.59543/jidmis.v3.2085"/>
    <hyperlink ref="G25" r:id="rId24" display="10.1007/978-3-032-06418-9_5"/>
    <hyperlink ref="G26" r:id="rId25" display="10.26615/978-954-452-098-4-001"/>
    <hyperlink ref="G27" r:id="rId26" display="10.3390/fi18070354"/>
    <hyperlink ref="G28" r:id="rId27" display="10.1109/IATMSI68868.2026.11466036"/>
    <hyperlink ref="G29" r:id="rId28" display="10.1109/ICIRCA69024.2026.11570613"/>
    <hyperlink ref="G30" r:id="rId29" display="10.18280/ijsse.150602"/>
    <hyperlink ref="G31" r:id="rId30" display="10.14569/IJACSA.2026.0170653"/>
    <hyperlink ref="G32" r:id="rId31" display="10.1109/RADIOELEKTRONIKA65656.2025.11008388"/>
    <hyperlink ref="G33" r:id="rId32" display="10.1007/978-3-031-70890-9_23"/>
    <hyperlink ref="G34" r:id="rId33" display="10.1109/ESCI68015.2026.11493218"/>
    <hyperlink ref="G36" r:id="rId34" display="10.1007/978-3-031-48981-5_9"/>
    <hyperlink ref="G38" r:id="rId35" display="10.1007/978-3-032-09368-4_1"/>
    <hyperlink ref="G39" r:id="rId36" display="10.1109/ICIPCN67432.2026.11438673"/>
    <hyperlink ref="G40" r:id="rId37" display="10.1109/ICICDS70526.2026.11604798"/>
    <hyperlink ref="G41" r:id="rId38" display="10.1109/IALP68296.2024.11156876"/>
    <hyperlink ref="G42" r:id="rId39" display="10.18653/v1/2025.acl-long.1329"/>
    <hyperlink ref="G43" r:id="rId40" display="10.1109/COMPSAC61105.2024.00135"/>
    <hyperlink ref="G44" r:id="rId41" display="10.1109/CSCWD61410.2024.10580575"/>
    <hyperlink ref="G45" r:id="rId42" display="10.1109/IALP63756.2024.10661176"/>
    <hyperlink ref="G46" r:id="rId43" display="10.1109/ICASST68917.2026.11484150"/>
    <hyperlink ref="G47" r:id="rId44" display="10.1109/ACCESS.2026.3669713"/>
    <hyperlink ref="G48" r:id="rId45" display="10.1186/s12911-024-02609-w"/>
    <hyperlink ref="G49" r:id="rId46" display="10.1109/ICETCS61022.2024.10543557"/>
    <hyperlink ref="G50" r:id="rId47" display="10.1016/j.jbi.2022.104215"/>
    <hyperlink ref="G51" r:id="rId48" display="10.1007/978-981-97-0942-7_19"/>
    <hyperlink ref="G52" r:id="rId49" display="10.1109/ICISESSC68634.2026.11542816"/>
    <hyperlink ref="G53" r:id="rId50" display="10.3390/math12172791"/>
    <hyperlink ref="G54" r:id="rId51" display="10.1109/SoutheastCon63549.2026.11476327"/>
    <hyperlink ref="G55" r:id="rId52" display="10.1007/978-3-031-70890-9_12"/>
    <hyperlink ref="G56" r:id="rId53" display="10.1109/ICEECT61758.2024.10739264"/>
    <hyperlink ref="G57" r:id="rId54" display="10.1145/3803437.3806406"/>
    <hyperlink ref="G58" r:id="rId55" display="10.1007/978-981-97-7966-6_2"/>
    <hyperlink ref="G59" r:id="rId56" display="10.1007/978-3-031-25467-3_7"/>
    <hyperlink ref="G60" r:id="rId57" display="10.36922/AIH025120021"/>
    <hyperlink ref="G61" r:id="rId58" display="10.1007/978-3-032-02049-9_29"/>
    <hyperlink ref="G62" r:id="rId59" display="10.1109/I-PACT58649.2023.10434879"/>
    <hyperlink ref="G63" r:id="rId60" display="10.1109/ICHI64645.2025.00077"/>
    <hyperlink ref="G64" r:id="rId61" display="10.1109/AICCSA63423.2024.10912540"/>
    <hyperlink ref="G65" r:id="rId62" display="10.1016/j.asoc.2023.110540"/>
    <hyperlink ref="G66" r:id="rId63" display="10.1109/ICECIT67774.2025.11450940"/>
    <hyperlink ref="G67" r:id="rId64" display="10.3390/app16041692"/>
    <hyperlink ref="G68" r:id="rId65" display="10.22266/ijies2026.0930.53"/>
    <hyperlink ref="G70" r:id="rId66" display="10.1007/978-981-92-1947-6_42"/>
    <hyperlink ref="G71" r:id="rId67" display="10.1007/978-3-032-20907-8_37"/>
    <hyperlink ref="G72" r:id="rId68" display="10.1093/jamiaopen/ooae152"/>
    <hyperlink ref="G73" r:id="rId69" display="10.1109/ICRTEECT67512.2025.11448648"/>
    <hyperlink ref="G74" r:id="rId70" display="10.1007/s10506-024-09397-8"/>
    <hyperlink ref="G75" r:id="rId71" display="10.1007/978-3-031-93418-6_21"/>
    <hyperlink ref="G76" r:id="rId72" display="10.3390/info16010049"/>
    <hyperlink ref="G77" r:id="rId73" display="10.3390/electronics14193945"/>
    <hyperlink ref="G78" r:id="rId74" display="10.1109/GINOTECH63460.2025.11076720"/>
    <hyperlink ref="G79" r:id="rId75" display="10.3390/app14135682"/>
    <hyperlink ref="G80" r:id="rId76" display="10.1007/978-3-031-72344-5_26"/>
    <hyperlink ref="G81" r:id="rId77" display="10.3390/app16073332"/>
    <hyperlink ref="G82" r:id="rId78" display="10.3389/fpubh.2025.1717303"/>
    <hyperlink ref="G83" r:id="rId79" display="10.1016/j.procs.2025.04.144"/>
    <hyperlink ref="G84" r:id="rId80" display="10.1007/978-3-031-10542-5_26"/>
    <hyperlink ref="G85" r:id="rId81" display="10.1109/JAC-ECC67970.2025.11417603"/>
    <hyperlink ref="G86" r:id="rId82" display="10.1007/978-981-95-4788-3_17"/>
    <hyperlink ref="G87" r:id="rId83" display="10.1007/978-981-97-2977-7_50"/>
    <hyperlink ref="G88" r:id="rId84" display="10.1109/BigData55660.2022.10021086"/>
    <hyperlink ref="G89" r:id="rId85" display="10.1109/BigData66926.2025.11400743"/>
    <hyperlink ref="G90" r:id="rId86" display="10.1007/978-3-031-49407-9_58"/>
    <hyperlink ref="G91" r:id="rId87" display="10.1109/ICIRCA69024.2026.11570292"/>
    <hyperlink ref="G92" r:id="rId88" display="10.1007/978-3-032-23341-7_13"/>
    <hyperlink ref="G94" r:id="rId89" display="10.1109/ACAIT67930.2025.11521998"/>
    <hyperlink ref="G95" r:id="rId90" display="10.1109/COMP-SIF65618.2025.10969858"/>
    <hyperlink ref="G96" r:id="rId91" display="10.1016/j.csi.2026.104185"/>
    <hyperlink ref="G97" r:id="rId92" display="10.3390/ai5040134"/>
    <hyperlink ref="G98" r:id="rId93" display="10.3233/ATDE250587"/>
    <hyperlink ref="G99" r:id="rId94" display="10.1186/s12911-024-02422-5"/>
    <hyperlink ref="G101" r:id="rId95" display="10.1038/s41598-025-04971-9"/>
    <hyperlink ref="G102" r:id="rId96" display="10.1007/978-3-031-47546-7_13"/>
    <hyperlink ref="G103" r:id="rId97" display="10.1145/3803817.3803826"/>
    <hyperlink ref="G104" r:id="rId98" display="10.1109/ICIRCA65293.2025.11089654"/>
    <hyperlink ref="G105" r:id="rId99" display="10.3233/SHTI260440"/>
    <hyperlink ref="G106" r:id="rId100" display="10.1109/ICICV68925.2026.11554890"/>
    <hyperlink ref="G107" r:id="rId101" display="10.26615/978-954-452-098-4-154"/>
    <hyperlink ref="G109" r:id="rId102" display="10.1109/IICC69623.2026.11582683"/>
    <hyperlink ref="G111" r:id="rId103" display="10.1177/03611981261447268"/>
    <hyperlink ref="G112" r:id="rId104" display="10.1109/TPS-ISA67132.2025.00025"/>
    <hyperlink ref="G113" r:id="rId105" display="10.3390/electronics14081636"/>
    <hyperlink ref="G114" r:id="rId106" display="10.1007/978-3-031-78090-5_14"/>
    <hyperlink ref="G116" r:id="rId107" display="10.1109/IC2SDT68218.2025.11383622"/>
    <hyperlink ref="G117" r:id="rId108" display="10.1109/ICCCNT56998.2023.10307924"/>
    <hyperlink ref="G118" r:id="rId109" display="10.1109/BigData62323.2024.10825282"/>
    <hyperlink ref="G119" r:id="rId110" display="10.1007/978-3-031-39821-6_17"/>
    <hyperlink ref="G120" r:id="rId111" display="10.1049/icp.2024.0971"/>
    <hyperlink ref="G121" r:id="rId112" display="10.1109/ESEM64174.2025.00021"/>
    <hyperlink ref="G122" r:id="rId113" display="10.1007/978-981-97-7966-6_3"/>
    <hyperlink ref="G123" r:id="rId114" display="10.1186/s44147-026-00965-0"/>
    <hyperlink ref="G124" r:id="rId115" display="10.1109/ICECMSN68058.2025.11383400"/>
    <hyperlink ref="G125" r:id="rId116" display="10.3390/electronics14224451"/>
    <hyperlink ref="G126" r:id="rId117" display="10.1109/COMSNETS56262.2023.10041388"/>
    <hyperlink ref="G127" r:id="rId118" display="10.1007/978-3-032-25958-5_2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12"/>
    <col collapsed="false" customWidth="true" hidden="false" outlineLevel="0" max="6" min="6" style="0" width="40"/>
  </cols>
  <sheetData>
    <row r="1" customFormat="false" ht="17.35" hidden="false" customHeight="false" outlineLevel="0" collapsed="false">
      <c r="A1" s="1" t="s">
        <v>1328</v>
      </c>
    </row>
    <row r="2" customFormat="false" ht="15" hidden="false" customHeight="true" outlineLevel="0" collapsed="false">
      <c r="A2" s="2" t="s">
        <v>1329</v>
      </c>
      <c r="B2" s="2"/>
      <c r="C2" s="2"/>
      <c r="D2" s="2"/>
      <c r="E2" s="2"/>
      <c r="F2" s="2"/>
    </row>
    <row r="4" customFormat="false" ht="15" hidden="false" customHeight="false" outlineLevel="0" collapsed="false">
      <c r="A4" s="3" t="s">
        <v>1330</v>
      </c>
    </row>
    <row r="5" customFormat="false" ht="15" hidden="false" customHeight="false" outlineLevel="0" collapsed="false">
      <c r="A5" s="7" t="s">
        <v>65</v>
      </c>
      <c r="B5" s="7" t="s">
        <v>13</v>
      </c>
      <c r="C5" s="7" t="s">
        <v>16</v>
      </c>
    </row>
    <row r="6" customFormat="false" ht="23.85" hidden="false" customHeight="false" outlineLevel="0" collapsed="false">
      <c r="A6" s="6" t="s">
        <v>1331</v>
      </c>
      <c r="B6" s="8" t="n">
        <f aca="false">COUNTIF(Cribado!$I$2:$I$127,"N")</f>
        <v>85</v>
      </c>
      <c r="C6" s="8" t="s">
        <v>19</v>
      </c>
    </row>
    <row r="7" customFormat="false" ht="23.85" hidden="false" customHeight="false" outlineLevel="0" collapsed="false">
      <c r="A7" s="6" t="s">
        <v>1332</v>
      </c>
      <c r="B7" s="8" t="n">
        <f aca="false">COUNTIF(Cribado!$I$2:$I$127,"C1")</f>
        <v>8</v>
      </c>
      <c r="C7" s="8" t="s">
        <v>20</v>
      </c>
    </row>
    <row r="8" customFormat="false" ht="23.85" hidden="false" customHeight="false" outlineLevel="0" collapsed="false">
      <c r="A8" s="6" t="s">
        <v>1333</v>
      </c>
      <c r="B8" s="8" t="n">
        <f aca="false">COUNTIF(Cribado!$I$2:$I$127,"C2")</f>
        <v>3</v>
      </c>
      <c r="C8" s="8" t="s">
        <v>20</v>
      </c>
    </row>
    <row r="9" customFormat="false" ht="23.85" hidden="false" customHeight="false" outlineLevel="0" collapsed="false">
      <c r="A9" s="6" t="s">
        <v>1334</v>
      </c>
      <c r="B9" s="8" t="n">
        <f aca="false">COUNTIF(Cribado!$I$2:$I$127,"C3")</f>
        <v>9</v>
      </c>
      <c r="C9" s="8" t="s">
        <v>20</v>
      </c>
    </row>
    <row r="10" customFormat="false" ht="23.85" hidden="false" customHeight="false" outlineLevel="0" collapsed="false">
      <c r="A10" s="6" t="s">
        <v>1335</v>
      </c>
      <c r="B10" s="8" t="n">
        <f aca="false">COUNTIF(Cribado!$I$2:$I$127,"C4")</f>
        <v>3</v>
      </c>
      <c r="C10" s="8" t="s">
        <v>20</v>
      </c>
    </row>
    <row r="11" customFormat="false" ht="23.85" hidden="false" customHeight="false" outlineLevel="0" collapsed="false">
      <c r="A11" s="6" t="s">
        <v>1336</v>
      </c>
      <c r="B11" s="8" t="n">
        <f aca="false">COUNTIF(Cribado!$I$2:$I$127,"C5")</f>
        <v>2</v>
      </c>
      <c r="C11" s="8" t="s">
        <v>20</v>
      </c>
    </row>
    <row r="12" customFormat="false" ht="23.85" hidden="false" customHeight="false" outlineLevel="0" collapsed="false">
      <c r="A12" s="6" t="s">
        <v>1337</v>
      </c>
      <c r="B12" s="8" t="n">
        <f aca="false">COUNTIF(Cribado!$I$2:$I$127,"E1")</f>
        <v>3</v>
      </c>
      <c r="C12" s="8" t="s">
        <v>21</v>
      </c>
    </row>
    <row r="13" customFormat="false" ht="23.85" hidden="false" customHeight="false" outlineLevel="0" collapsed="false">
      <c r="A13" s="6" t="s">
        <v>1338</v>
      </c>
      <c r="B13" s="8" t="n">
        <f aca="false">COUNTIF(Cribado!$I$2:$I$127,"E2")</f>
        <v>12</v>
      </c>
      <c r="C13" s="8" t="s">
        <v>21</v>
      </c>
    </row>
    <row r="14" customFormat="false" ht="23.85" hidden="false" customHeight="false" outlineLevel="0" collapsed="false">
      <c r="A14" s="6" t="s">
        <v>1339</v>
      </c>
      <c r="B14" s="8" t="n">
        <f aca="false">COUNTIF(Cribado!$I$2:$I$127,"E3")</f>
        <v>1</v>
      </c>
      <c r="C14" s="8" t="s">
        <v>21</v>
      </c>
    </row>
    <row r="16" customFormat="false" ht="15" hidden="false" customHeight="false" outlineLevel="0" collapsed="false">
      <c r="A16" s="3" t="s">
        <v>1340</v>
      </c>
    </row>
    <row r="17" customFormat="false" ht="23.85" hidden="false" customHeight="false" outlineLevel="0" collapsed="false">
      <c r="A17" s="7" t="s">
        <v>129</v>
      </c>
      <c r="B17" s="7" t="s">
        <v>19</v>
      </c>
      <c r="C17" s="7" t="s">
        <v>20</v>
      </c>
      <c r="D17" s="7" t="s">
        <v>21</v>
      </c>
      <c r="E17" s="7" t="s">
        <v>22</v>
      </c>
    </row>
    <row r="18" customFormat="false" ht="15" hidden="false" customHeight="false" outlineLevel="0" collapsed="false">
      <c r="A18" s="8" t="s">
        <v>1341</v>
      </c>
      <c r="B18" s="8" t="n">
        <f aca="false">COUNTIFS(Cribado!$C$2:$C$127,2022,Cribado!$H$2:$H$127,"Núcleo")</f>
        <v>4</v>
      </c>
      <c r="C18" s="8" t="n">
        <f aca="false">COUNTIFS(Cribado!$C$2:$C$127,2022,Cribado!$H$2:$H$127,"Complementario")</f>
        <v>1</v>
      </c>
      <c r="D18" s="8" t="n">
        <f aca="false">COUNTIFS(Cribado!$C$2:$C$127,2022,Cribado!$H$2:$H$127,"Excluido")</f>
        <v>0</v>
      </c>
      <c r="E18" s="10" t="n">
        <f aca="false">SUM(B18:D18)</f>
        <v>5</v>
      </c>
    </row>
    <row r="19" customFormat="false" ht="15" hidden="false" customHeight="false" outlineLevel="0" collapsed="false">
      <c r="A19" s="8" t="s">
        <v>1342</v>
      </c>
      <c r="B19" s="8" t="n">
        <f aca="false">COUNTIFS(Cribado!$C$2:$C$127,2023,Cribado!$H$2:$H$127,"Núcleo")</f>
        <v>7</v>
      </c>
      <c r="C19" s="8" t="n">
        <f aca="false">COUNTIFS(Cribado!$C$2:$C$127,2023,Cribado!$H$2:$H$127,"Complementario")</f>
        <v>2</v>
      </c>
      <c r="D19" s="8" t="n">
        <f aca="false">COUNTIFS(Cribado!$C$2:$C$127,2023,Cribado!$H$2:$H$127,"Excluido")</f>
        <v>1</v>
      </c>
      <c r="E19" s="10" t="n">
        <f aca="false">SUM(B19:D19)</f>
        <v>10</v>
      </c>
    </row>
    <row r="20" customFormat="false" ht="15" hidden="false" customHeight="false" outlineLevel="0" collapsed="false">
      <c r="A20" s="8" t="s">
        <v>1343</v>
      </c>
      <c r="B20" s="8" t="n">
        <f aca="false">COUNTIFS(Cribado!$C$2:$C$127,2024,Cribado!$H$2:$H$127,"Núcleo")</f>
        <v>10</v>
      </c>
      <c r="C20" s="8" t="n">
        <f aca="false">COUNTIFS(Cribado!$C$2:$C$127,2024,Cribado!$H$2:$H$127,"Complementario")</f>
        <v>8</v>
      </c>
      <c r="D20" s="8" t="n">
        <f aca="false">COUNTIFS(Cribado!$C$2:$C$127,2024,Cribado!$H$2:$H$127,"Excluido")</f>
        <v>3</v>
      </c>
      <c r="E20" s="10" t="n">
        <f aca="false">SUM(B20:D20)</f>
        <v>21</v>
      </c>
    </row>
    <row r="21" customFormat="false" ht="15" hidden="false" customHeight="false" outlineLevel="0" collapsed="false">
      <c r="A21" s="8" t="s">
        <v>1344</v>
      </c>
      <c r="B21" s="8" t="n">
        <f aca="false">COUNTIFS(Cribado!$C$2:$C$127,2025,Cribado!$H$2:$H$127,"Núcleo")</f>
        <v>33</v>
      </c>
      <c r="C21" s="8" t="n">
        <f aca="false">COUNTIFS(Cribado!$C$2:$C$127,2025,Cribado!$H$2:$H$127,"Complementario")</f>
        <v>5</v>
      </c>
      <c r="D21" s="8" t="n">
        <f aca="false">COUNTIFS(Cribado!$C$2:$C$127,2025,Cribado!$H$2:$H$127,"Excluido")</f>
        <v>8</v>
      </c>
      <c r="E21" s="10" t="n">
        <f aca="false">SUM(B21:D21)</f>
        <v>46</v>
      </c>
    </row>
    <row r="22" customFormat="false" ht="15" hidden="false" customHeight="false" outlineLevel="0" collapsed="false">
      <c r="A22" s="8" t="s">
        <v>1345</v>
      </c>
      <c r="B22" s="8" t="n">
        <f aca="false">COUNTIFS(Cribado!$C$2:$C$127,2026,Cribado!$H$2:$H$127,"Núcleo")</f>
        <v>29</v>
      </c>
      <c r="C22" s="8" t="n">
        <f aca="false">COUNTIFS(Cribado!$C$2:$C$127,2026,Cribado!$H$2:$H$127,"Complementario")</f>
        <v>9</v>
      </c>
      <c r="D22" s="8" t="n">
        <f aca="false">COUNTIFS(Cribado!$C$2:$C$127,2026,Cribado!$H$2:$H$127,"Excluido")</f>
        <v>4</v>
      </c>
      <c r="E22" s="10" t="n">
        <f aca="false">SUM(B22:D22)</f>
        <v>42</v>
      </c>
    </row>
    <row r="23" customFormat="false" ht="15" hidden="false" customHeight="false" outlineLevel="0" collapsed="false">
      <c r="A23" s="8" t="s">
        <v>1346</v>
      </c>
      <c r="B23" s="8" t="n">
        <f aca="false">COUNTIFS(Cribado!$C$2:$C$127,2027,Cribado!$H$2:$H$127,"Núcleo")</f>
        <v>2</v>
      </c>
      <c r="C23" s="8" t="n">
        <f aca="false">COUNTIFS(Cribado!$C$2:$C$127,2027,Cribado!$H$2:$H$127,"Complementario")</f>
        <v>0</v>
      </c>
      <c r="D23" s="8" t="n">
        <f aca="false">COUNTIFS(Cribado!$C$2:$C$127,2027,Cribado!$H$2:$H$127,"Excluido")</f>
        <v>0</v>
      </c>
      <c r="E23" s="10" t="n">
        <f aca="false">SUM(B23:D23)</f>
        <v>2</v>
      </c>
    </row>
    <row r="25" customFormat="false" ht="15" hidden="false" customHeight="false" outlineLevel="0" collapsed="false">
      <c r="A25" s="3" t="s">
        <v>1347</v>
      </c>
    </row>
    <row r="26" customFormat="false" ht="23.85" hidden="false" customHeight="false" outlineLevel="0" collapsed="false">
      <c r="A26" s="7" t="s">
        <v>1348</v>
      </c>
      <c r="B26" s="7" t="s">
        <v>1349</v>
      </c>
      <c r="C26" s="7" t="s">
        <v>1350</v>
      </c>
    </row>
    <row r="27" customFormat="false" ht="15" hidden="false" customHeight="false" outlineLevel="0" collapsed="false">
      <c r="A27" s="6" t="s">
        <v>137</v>
      </c>
      <c r="B27" s="8" t="n">
        <f aca="false">COUNTIFS(Cribado!$H$2:$H$127,"Núcleo",Cribado!$P$2:$P$127,"X")</f>
        <v>47</v>
      </c>
      <c r="C27" s="14" t="n">
        <f aca="false">B27/COUNTIF(Cribado!$H$2:$H$127,"Núcleo")</f>
        <v>0.552941176470588</v>
      </c>
    </row>
    <row r="28" customFormat="false" ht="15" hidden="false" customHeight="false" outlineLevel="0" collapsed="false">
      <c r="A28" s="6" t="s">
        <v>138</v>
      </c>
      <c r="B28" s="8" t="n">
        <f aca="false">COUNTIFS(Cribado!$H$2:$H$127,"Núcleo",Cribado!$Q$2:$Q$127,"X")</f>
        <v>11</v>
      </c>
      <c r="C28" s="14" t="n">
        <f aca="false">B28/COUNTIF(Cribado!$H$2:$H$127,"Núcleo")</f>
        <v>0.129411764705882</v>
      </c>
    </row>
    <row r="29" customFormat="false" ht="23.85" hidden="false" customHeight="false" outlineLevel="0" collapsed="false">
      <c r="A29" s="6" t="s">
        <v>139</v>
      </c>
      <c r="B29" s="8" t="n">
        <f aca="false">COUNTIFS(Cribado!$H$2:$H$127,"Núcleo",Cribado!$R$2:$R$127,"X")</f>
        <v>43</v>
      </c>
      <c r="C29" s="14" t="n">
        <f aca="false">B29/COUNTIF(Cribado!$H$2:$H$127,"Núcleo")</f>
        <v>0.505882352941176</v>
      </c>
    </row>
    <row r="30" customFormat="false" ht="15" hidden="false" customHeight="false" outlineLevel="0" collapsed="false">
      <c r="A30" s="6" t="s">
        <v>140</v>
      </c>
      <c r="B30" s="8" t="n">
        <f aca="false">COUNTIFS(Cribado!$H$2:$H$127,"Núcleo",Cribado!$S$2:$S$127,"X")</f>
        <v>41</v>
      </c>
      <c r="C30" s="14" t="n">
        <f aca="false">B30/COUNTIF(Cribado!$H$2:$H$127,"Núcleo")</f>
        <v>0.482352941176471</v>
      </c>
    </row>
    <row r="31" customFormat="false" ht="15" hidden="false" customHeight="false" outlineLevel="0" collapsed="false">
      <c r="A31" s="6" t="s">
        <v>141</v>
      </c>
      <c r="B31" s="8" t="n">
        <f aca="false">COUNTIFS(Cribado!$H$2:$H$127,"Núcleo",Cribado!$T$2:$T$127,"X")</f>
        <v>24</v>
      </c>
      <c r="C31" s="14" t="n">
        <f aca="false">B31/COUNTIF(Cribado!$H$2:$H$127,"Núcleo")</f>
        <v>0.282352941176471</v>
      </c>
    </row>
    <row r="32" customFormat="false" ht="15" hidden="false" customHeight="false" outlineLevel="0" collapsed="false">
      <c r="A32" s="6" t="s">
        <v>142</v>
      </c>
      <c r="B32" s="8" t="n">
        <f aca="false">COUNTIFS(Cribado!$H$2:$H$127,"Núcleo",Cribado!$U$2:$U$127,"X")</f>
        <v>6</v>
      </c>
      <c r="C32" s="14" t="n">
        <f aca="false">B32/COUNTIF(Cribado!$H$2:$H$127,"Núcleo")</f>
        <v>0.0705882352941177</v>
      </c>
    </row>
    <row r="33" customFormat="false" ht="23.85" hidden="false" customHeight="false" outlineLevel="0" collapsed="false">
      <c r="A33" s="6" t="s">
        <v>143</v>
      </c>
      <c r="B33" s="8" t="n">
        <f aca="false">COUNTIFS(Cribado!$H$2:$H$127,"Núcleo",Cribado!$V$2:$V$127,"X")</f>
        <v>16</v>
      </c>
      <c r="C33" s="14" t="n">
        <f aca="false">B33/COUNTIF(Cribado!$H$2:$H$127,"Núcleo")</f>
        <v>0.188235294117647</v>
      </c>
    </row>
    <row r="34" customFormat="false" ht="15" hidden="false" customHeight="false" outlineLevel="0" collapsed="false">
      <c r="A34" s="5" t="s">
        <v>112</v>
      </c>
      <c r="B34" s="8" t="n">
        <f aca="false">COUNTIFS(Cribado!$H$2:$H$127,"Núcleo",Cribado!$W$2:$W$127,"Sí")</f>
        <v>41</v>
      </c>
      <c r="C34" s="14" t="n">
        <f aca="false">B34/COUNTIF(Cribado!$H$2:$H$127,"Núcleo")</f>
        <v>0.482352941176471</v>
      </c>
    </row>
    <row r="36" customFormat="false" ht="26.85" hidden="false" customHeight="false" outlineLevel="0" collapsed="false">
      <c r="A36" s="3" t="s">
        <v>1351</v>
      </c>
    </row>
    <row r="37" customFormat="false" ht="23.85" hidden="false" customHeight="false" outlineLevel="0" collapsed="false">
      <c r="A37" s="7" t="s">
        <v>1352</v>
      </c>
      <c r="B37" s="7" t="s">
        <v>1349</v>
      </c>
      <c r="C37" s="7" t="s">
        <v>1353</v>
      </c>
    </row>
    <row r="38" customFormat="false" ht="15" hidden="false" customHeight="false" outlineLevel="0" collapsed="false">
      <c r="A38" s="6" t="s">
        <v>144</v>
      </c>
      <c r="B38" s="8" t="n">
        <f aca="false">COUNTIFS(Cribado!$H$2:$H$127,"Núcleo",Cribado!$X$2:$X$127,"X")</f>
        <v>15</v>
      </c>
      <c r="C38" s="8" t="n">
        <f aca="false">COUNTIF(Cribado!$X$2:$X$127,"X")</f>
        <v>17</v>
      </c>
    </row>
    <row r="39" customFormat="false" ht="15" hidden="false" customHeight="false" outlineLevel="0" collapsed="false">
      <c r="A39" s="6" t="s">
        <v>145</v>
      </c>
      <c r="B39" s="8" t="n">
        <f aca="false">COUNTIFS(Cribado!$H$2:$H$127,"Núcleo",Cribado!$Y$2:$Y$127,"X")</f>
        <v>7</v>
      </c>
      <c r="C39" s="8" t="n">
        <f aca="false">COUNTIF(Cribado!$Y$2:$Y$127,"X")</f>
        <v>8</v>
      </c>
    </row>
    <row r="40" customFormat="false" ht="15" hidden="false" customHeight="false" outlineLevel="0" collapsed="false">
      <c r="A40" s="6" t="s">
        <v>146</v>
      </c>
      <c r="B40" s="8" t="n">
        <f aca="false">COUNTIFS(Cribado!$H$2:$H$127,"Núcleo",Cribado!$Z$2:$Z$127,"X")</f>
        <v>8</v>
      </c>
      <c r="C40" s="8" t="n">
        <f aca="false">COUNTIF(Cribado!$Z$2:$Z$127,"X")</f>
        <v>9</v>
      </c>
    </row>
    <row r="41" customFormat="false" ht="15" hidden="false" customHeight="false" outlineLevel="0" collapsed="false">
      <c r="A41" s="6" t="s">
        <v>147</v>
      </c>
      <c r="B41" s="8" t="n">
        <f aca="false">COUNTIFS(Cribado!$H$2:$H$127,"Núcleo",Cribado!$AA$2:$AA$127,"X")</f>
        <v>7</v>
      </c>
      <c r="C41" s="8" t="n">
        <f aca="false">COUNTIF(Cribado!$AA$2:$AA$127,"X")</f>
        <v>8</v>
      </c>
    </row>
    <row r="42" customFormat="false" ht="15" hidden="false" customHeight="false" outlineLevel="0" collapsed="false">
      <c r="A42" s="6" t="s">
        <v>148</v>
      </c>
      <c r="B42" s="8" t="n">
        <f aca="false">COUNTIFS(Cribado!$H$2:$H$127,"Núcleo",Cribado!$AB$2:$AB$127,"X")</f>
        <v>12</v>
      </c>
      <c r="C42" s="8" t="n">
        <f aca="false">COUNTIF(Cribado!$AB$2:$AB$127,"X")</f>
        <v>15</v>
      </c>
    </row>
    <row r="43" customFormat="false" ht="15" hidden="false" customHeight="false" outlineLevel="0" collapsed="false">
      <c r="A43" s="6" t="s">
        <v>149</v>
      </c>
      <c r="B43" s="8" t="n">
        <f aca="false">COUNTIFS(Cribado!$H$2:$H$127,"Núcleo",Cribado!$AC$2:$AC$127,"X")</f>
        <v>5</v>
      </c>
      <c r="C43" s="8" t="n">
        <f aca="false">COUNTIF(Cribado!$AC$2:$AC$127,"X")</f>
        <v>7</v>
      </c>
    </row>
    <row r="44" customFormat="false" ht="15" hidden="false" customHeight="false" outlineLevel="0" collapsed="false">
      <c r="A44" s="6" t="s">
        <v>150</v>
      </c>
      <c r="B44" s="8" t="n">
        <f aca="false">COUNTIFS(Cribado!$H$2:$H$127,"Núcleo",Cribado!$AD$2:$AD$127,"X")</f>
        <v>7</v>
      </c>
      <c r="C44" s="8" t="n">
        <f aca="false">COUNTIF(Cribado!$AD$2:$AD$127,"X")</f>
        <v>9</v>
      </c>
    </row>
    <row r="45" customFormat="false" ht="15" hidden="false" customHeight="false" outlineLevel="0" collapsed="false">
      <c r="A45" s="6" t="s">
        <v>151</v>
      </c>
      <c r="B45" s="8" t="n">
        <f aca="false">COUNTIFS(Cribado!$H$2:$H$127,"Núcleo",Cribado!$AE$2:$AE$127,"X")</f>
        <v>4</v>
      </c>
      <c r="C45" s="8" t="n">
        <f aca="false">COUNTIF(Cribado!$AE$2:$AE$127,"X")</f>
        <v>5</v>
      </c>
    </row>
    <row r="46" customFormat="false" ht="15" hidden="false" customHeight="false" outlineLevel="0" collapsed="false">
      <c r="A46" s="6" t="s">
        <v>152</v>
      </c>
      <c r="B46" s="8" t="n">
        <f aca="false">COUNTIFS(Cribado!$H$2:$H$127,"Núcleo",Cribado!$AF$2:$AF$127,"X")</f>
        <v>2</v>
      </c>
      <c r="C46" s="8" t="n">
        <f aca="false">COUNTIF(Cribado!$AF$2:$AF$127,"X")</f>
        <v>2</v>
      </c>
    </row>
    <row r="47" customFormat="false" ht="15" hidden="false" customHeight="false" outlineLevel="0" collapsed="false">
      <c r="A47" s="6" t="s">
        <v>153</v>
      </c>
      <c r="B47" s="8" t="n">
        <f aca="false">COUNTIFS(Cribado!$H$2:$H$127,"Núcleo",Cribado!$AG$2:$AG$127,"X")</f>
        <v>6</v>
      </c>
      <c r="C47" s="8" t="n">
        <f aca="false">COUNTIF(Cribado!$AG$2:$AG$127,"X")</f>
        <v>6</v>
      </c>
    </row>
    <row r="48" customFormat="false" ht="15" hidden="false" customHeight="false" outlineLevel="0" collapsed="false">
      <c r="A48" s="6" t="s">
        <v>154</v>
      </c>
      <c r="B48" s="8" t="n">
        <f aca="false">COUNTIFS(Cribado!$H$2:$H$127,"Núcleo",Cribado!$AH$2:$AH$127,"X")</f>
        <v>1</v>
      </c>
      <c r="C48" s="8" t="n">
        <f aca="false">COUNTIF(Cribado!$AH$2:$AH$127,"X")</f>
        <v>1</v>
      </c>
    </row>
    <row r="49" customFormat="false" ht="15" hidden="false" customHeight="false" outlineLevel="0" collapsed="false">
      <c r="A49" s="6" t="s">
        <v>155</v>
      </c>
      <c r="B49" s="8" t="n">
        <f aca="false">COUNTIFS(Cribado!$H$2:$H$127,"Núcleo",Cribado!$AI$2:$AI$127,"X")</f>
        <v>0</v>
      </c>
      <c r="C49" s="8" t="n">
        <f aca="false">COUNTIF(Cribado!$AI$2:$AI$127,"X")</f>
        <v>0</v>
      </c>
    </row>
    <row r="50" customFormat="false" ht="15" hidden="false" customHeight="false" outlineLevel="0" collapsed="false">
      <c r="A50" s="6" t="s">
        <v>156</v>
      </c>
      <c r="B50" s="8" t="n">
        <f aca="false">COUNTIFS(Cribado!$H$2:$H$127,"Núcleo",Cribado!$AJ$2:$AJ$127,"X")</f>
        <v>0</v>
      </c>
      <c r="C50" s="8" t="n">
        <f aca="false">COUNTIF(Cribado!$AJ$2:$AJ$127,"X")</f>
        <v>0</v>
      </c>
    </row>
    <row r="51" customFormat="false" ht="15" hidden="false" customHeight="false" outlineLevel="0" collapsed="false">
      <c r="A51" s="6" t="s">
        <v>157</v>
      </c>
      <c r="B51" s="8" t="n">
        <f aca="false">COUNTIFS(Cribado!$H$2:$H$127,"Núcleo",Cribado!$AK$2:$AK$127,"X")</f>
        <v>0</v>
      </c>
      <c r="C51" s="8" t="n">
        <f aca="false">COUNTIF(Cribado!$AK$2:$AK$127,"X")</f>
        <v>1</v>
      </c>
    </row>
    <row r="52" customFormat="false" ht="15" hidden="false" customHeight="true" outlineLevel="0" collapsed="false">
      <c r="A52" s="2" t="s">
        <v>1354</v>
      </c>
      <c r="B52" s="2"/>
      <c r="C52" s="2"/>
      <c r="D52" s="2"/>
      <c r="E52" s="2"/>
      <c r="F52" s="2"/>
    </row>
    <row r="54" customFormat="false" ht="26.85" hidden="false" customHeight="false" outlineLevel="0" collapsed="false">
      <c r="A54" s="3" t="s">
        <v>1355</v>
      </c>
    </row>
    <row r="55" customFormat="false" ht="23.85" hidden="false" customHeight="false" outlineLevel="0" collapsed="false">
      <c r="A55" s="7" t="s">
        <v>106</v>
      </c>
      <c r="B55" s="7" t="s">
        <v>1349</v>
      </c>
      <c r="C55" s="7" t="s">
        <v>1353</v>
      </c>
    </row>
    <row r="56" customFormat="false" ht="15" hidden="false" customHeight="false" outlineLevel="0" collapsed="false">
      <c r="A56" s="6" t="s">
        <v>206</v>
      </c>
      <c r="B56" s="8" t="n">
        <f aca="false">COUNTIFS(Cribado!$H$2:$H$127,"Núcleo",Cribado!$O$2:$O$127,"Inglés")</f>
        <v>24</v>
      </c>
      <c r="C56" s="8" t="n">
        <f aca="false">COUNTIF(Cribado!$O$2:$O$127,"Inglés")</f>
        <v>37</v>
      </c>
    </row>
    <row r="57" customFormat="false" ht="15" hidden="false" customHeight="false" outlineLevel="0" collapsed="false">
      <c r="A57" s="6" t="s">
        <v>300</v>
      </c>
      <c r="B57" s="8" t="n">
        <f aca="false">COUNTIFS(Cribado!$H$2:$H$127,"Núcleo",Cribado!$O$2:$O$127,"Español (solo o con otras lenguas)")</f>
        <v>5</v>
      </c>
      <c r="C57" s="8" t="n">
        <f aca="false">COUNTIF(Cribado!$O$2:$O$127,"Español (solo o con otras lenguas)")</f>
        <v>7</v>
      </c>
    </row>
    <row r="58" customFormat="false" ht="15" hidden="false" customHeight="false" outlineLevel="0" collapsed="false">
      <c r="A58" s="6" t="s">
        <v>194</v>
      </c>
      <c r="B58" s="8" t="n">
        <f aca="false">COUNTIFS(Cribado!$H$2:$H$127,"Núcleo",Cribado!$O$2:$O$127,"Otra lengua")</f>
        <v>21</v>
      </c>
      <c r="C58" s="8" t="n">
        <f aca="false">COUNTIF(Cribado!$O$2:$O$127,"Otra lengua")</f>
        <v>29</v>
      </c>
    </row>
    <row r="59" customFormat="false" ht="15" hidden="false" customHeight="false" outlineLevel="0" collapsed="false">
      <c r="A59" s="6" t="s">
        <v>288</v>
      </c>
      <c r="B59" s="8" t="n">
        <f aca="false">COUNTIFS(Cribado!$H$2:$H$127,"Núcleo",Cribado!$O$2:$O$127,"Multilingüe")</f>
        <v>4</v>
      </c>
      <c r="C59" s="8" t="n">
        <f aca="false">COUNTIF(Cribado!$O$2:$O$127,"Multilingüe")</f>
        <v>4</v>
      </c>
    </row>
    <row r="60" customFormat="false" ht="15" hidden="false" customHeight="false" outlineLevel="0" collapsed="false">
      <c r="A60" s="6" t="s">
        <v>171</v>
      </c>
      <c r="B60" s="8" t="n">
        <f aca="false">COUNTIFS(Cribado!$H$2:$H$127,"Núcleo",Cribado!$O$2:$O$127,"No indicado o no aplica")</f>
        <v>31</v>
      </c>
      <c r="C60" s="8" t="n">
        <f aca="false">COUNTIF(Cribado!$O$2:$O$127,"No indicado o no aplica")</f>
        <v>49</v>
      </c>
    </row>
    <row r="62" customFormat="false" ht="15" hidden="false" customHeight="false" outlineLevel="0" collapsed="false">
      <c r="A62" s="3" t="s">
        <v>1356</v>
      </c>
    </row>
    <row r="63" customFormat="false" ht="23.85" hidden="false" customHeight="false" outlineLevel="0" collapsed="false">
      <c r="A63" s="7" t="s">
        <v>103</v>
      </c>
      <c r="B63" s="7" t="s">
        <v>1349</v>
      </c>
      <c r="C63" s="7" t="s">
        <v>1353</v>
      </c>
    </row>
    <row r="64" customFormat="false" ht="15" hidden="false" customHeight="false" outlineLevel="0" collapsed="false">
      <c r="A64" s="6" t="s">
        <v>218</v>
      </c>
      <c r="B64" s="8" t="n">
        <f aca="false">COUNTIFS(Cribado!$H$2:$H$127,"Núcleo",Cribado!$M$2:$M$127,"Salud / clínico")</f>
        <v>17</v>
      </c>
      <c r="C64" s="8" t="n">
        <f aca="false">COUNTIF(Cribado!$M$2:$M$127,"Salud / clínico")</f>
        <v>26</v>
      </c>
    </row>
    <row r="65" customFormat="false" ht="15" hidden="false" customHeight="false" outlineLevel="0" collapsed="false">
      <c r="A65" s="6" t="s">
        <v>239</v>
      </c>
      <c r="B65" s="8" t="n">
        <f aca="false">COUNTIFS(Cribado!$H$2:$H$127,"Núcleo",Cribado!$M$2:$M$127,"Legal / policial")</f>
        <v>9</v>
      </c>
      <c r="C65" s="8" t="n">
        <f aca="false">COUNTIF(Cribado!$M$2:$M$127,"Legal / policial")</f>
        <v>13</v>
      </c>
    </row>
    <row r="66" customFormat="false" ht="15" hidden="false" customHeight="false" outlineLevel="0" collapsed="false">
      <c r="A66" s="6" t="s">
        <v>388</v>
      </c>
      <c r="B66" s="8" t="n">
        <f aca="false">COUNTIFS(Cribado!$H$2:$H$127,"Núcleo",Cribado!$M$2:$M$127,"Empresarial")</f>
        <v>11</v>
      </c>
      <c r="C66" s="8" t="n">
        <f aca="false">COUNTIF(Cribado!$M$2:$M$127,"Empresarial")</f>
        <v>13</v>
      </c>
    </row>
    <row r="67" customFormat="false" ht="15" hidden="false" customHeight="false" outlineLevel="0" collapsed="false">
      <c r="A67" s="6" t="s">
        <v>470</v>
      </c>
      <c r="B67" s="8" t="n">
        <f aca="false">COUNTIFS(Cribado!$H$2:$H$127,"Núcleo",Cribado!$M$2:$M$127,"Financiero")</f>
        <v>4</v>
      </c>
      <c r="C67" s="8" t="n">
        <f aca="false">COUNTIF(Cribado!$M$2:$M$127,"Financiero")</f>
        <v>4</v>
      </c>
    </row>
    <row r="68" customFormat="false" ht="15" hidden="false" customHeight="false" outlineLevel="0" collapsed="false">
      <c r="A68" s="6" t="s">
        <v>251</v>
      </c>
      <c r="B68" s="8" t="n">
        <f aca="false">COUNTIFS(Cribado!$H$2:$H$127,"Núcleo",Cribado!$M$2:$M$127,"Software / secretos técnicos")</f>
        <v>6</v>
      </c>
      <c r="C68" s="8" t="n">
        <f aca="false">COUNTIF(Cribado!$M$2:$M$127,"Software / secretos técnicos")</f>
        <v>6</v>
      </c>
    </row>
    <row r="69" customFormat="false" ht="15" hidden="false" customHeight="false" outlineLevel="0" collapsed="false">
      <c r="A69" s="6" t="s">
        <v>205</v>
      </c>
      <c r="B69" s="8" t="n">
        <f aca="false">COUNTIFS(Cribado!$H$2:$H$127,"Núcleo",Cribado!$M$2:$M$127,"LLM / asistentes")</f>
        <v>8</v>
      </c>
      <c r="C69" s="8" t="n">
        <f aca="false">COUNTIF(Cribado!$M$2:$M$127,"LLM / asistentes")</f>
        <v>12</v>
      </c>
    </row>
    <row r="70" customFormat="false" ht="15" hidden="false" customHeight="false" outlineLevel="0" collapsed="false">
      <c r="A70" s="6" t="s">
        <v>447</v>
      </c>
      <c r="B70" s="8" t="n">
        <f aca="false">COUNTIFS(Cribado!$H$2:$H$127,"Núcleo",Cribado!$M$2:$M$127,"Gobierno / identidad")</f>
        <v>5</v>
      </c>
      <c r="C70" s="8" t="n">
        <f aca="false">COUNTIF(Cribado!$M$2:$M$127,"Gobierno / identidad")</f>
        <v>5</v>
      </c>
    </row>
    <row r="71" customFormat="false" ht="15" hidden="false" customHeight="false" outlineLevel="0" collapsed="false">
      <c r="A71" s="6" t="s">
        <v>184</v>
      </c>
      <c r="B71" s="8" t="n">
        <f aca="false">COUNTIFS(Cribado!$H$2:$H$127,"Núcleo",Cribado!$M$2:$M$127,"General / documentos")</f>
        <v>23</v>
      </c>
      <c r="C71" s="8" t="n">
        <f aca="false">COUNTIF(Cribado!$M$2:$M$127,"General / documentos")</f>
        <v>29</v>
      </c>
    </row>
    <row r="72" customFormat="false" ht="15" hidden="false" customHeight="false" outlineLevel="0" collapsed="false">
      <c r="A72" s="6" t="s">
        <v>298</v>
      </c>
      <c r="B72" s="8" t="n">
        <f aca="false">COUNTIFS(Cribado!$H$2:$H$127,"Núcleo",Cribado!$M$2:$M$127,"Voz o imagen")</f>
        <v>1</v>
      </c>
      <c r="C72" s="8" t="n">
        <f aca="false">COUNTIF(Cribado!$M$2:$M$127,"Voz o imagen")</f>
        <v>10</v>
      </c>
    </row>
    <row r="73" customFormat="false" ht="15" hidden="false" customHeight="false" outlineLevel="0" collapsed="false">
      <c r="A73" s="6" t="s">
        <v>169</v>
      </c>
      <c r="B73" s="8" t="n">
        <f aca="false">COUNTIFS(Cribado!$H$2:$H$127,"Núcleo",Cribado!$M$2:$M$127,"Ciberseguridad u otro problema")</f>
        <v>1</v>
      </c>
      <c r="C73" s="8" t="n">
        <f aca="false">COUNTIF(Cribado!$M$2:$M$127,"Ciberseguridad u otro problema")</f>
        <v>8</v>
      </c>
    </row>
    <row r="75" customFormat="false" ht="15" hidden="false" customHeight="false" outlineLevel="0" collapsed="false">
      <c r="A75" s="3" t="s">
        <v>1357</v>
      </c>
    </row>
    <row r="76" customFormat="false" ht="23.85" hidden="false" customHeight="false" outlineLevel="0" collapsed="false">
      <c r="A76" s="7" t="s">
        <v>1358</v>
      </c>
      <c r="B76" s="7" t="s">
        <v>1349</v>
      </c>
      <c r="C76" s="7" t="s">
        <v>1353</v>
      </c>
    </row>
    <row r="77" customFormat="false" ht="23.85" hidden="false" customHeight="false" outlineLevel="0" collapsed="false">
      <c r="A77" s="6" t="s">
        <v>117</v>
      </c>
      <c r="B77" s="8" t="n">
        <f aca="false">COUNTIFS(Cribado!$H$2:$H$127,"Núcleo",Cribado!$AL$2:$AL$127,"Sí")</f>
        <v>9</v>
      </c>
      <c r="C77" s="8" t="n">
        <f aca="false">COUNTIF(Cribado!$AL$2:$AL$127,"Sí")</f>
        <v>12</v>
      </c>
    </row>
    <row r="78" customFormat="false" ht="15" hidden="false" customHeight="false" outlineLevel="0" collapsed="false">
      <c r="A78" s="6" t="s">
        <v>120</v>
      </c>
      <c r="B78" s="8" t="n">
        <f aca="false">COUNTIFS(Cribado!$H$2:$H$127,"Núcleo",Cribado!$AM$2:$AM$127,"Sí")</f>
        <v>12</v>
      </c>
      <c r="C78" s="8" t="n">
        <f aca="false">COUNTIF(Cribado!$AM$2:$AM$127,"Sí")</f>
        <v>19</v>
      </c>
    </row>
    <row r="79" customFormat="false" ht="15" hidden="false" customHeight="false" outlineLevel="0" collapsed="false">
      <c r="A79" s="6" t="s">
        <v>122</v>
      </c>
      <c r="B79" s="8" t="n">
        <f aca="false">COUNTIFS(Cribado!$H$2:$H$127,"Núcleo",Cribado!$AN$2:$AN$127,"Sí")</f>
        <v>2</v>
      </c>
      <c r="C79" s="8" t="n">
        <f aca="false">COUNTIF(Cribado!$AN$2:$AN$127,"Sí")</f>
        <v>3</v>
      </c>
    </row>
    <row r="80" customFormat="false" ht="23.85" hidden="false" customHeight="false" outlineLevel="0" collapsed="false">
      <c r="A80" s="6" t="s">
        <v>1359</v>
      </c>
      <c r="B80" s="8" t="n">
        <f aca="false">COUNTIFS(Cribado!$H$2:$H$127,"Núcleo",Cribado!$AL$2:$AL$127,"Sí",Cribado!$AN$2:$AN$127,"Sí")</f>
        <v>2</v>
      </c>
    </row>
    <row r="81" customFormat="false" ht="15" hidden="false" customHeight="false" outlineLevel="0" collapsed="false">
      <c r="A81" s="6" t="s">
        <v>1360</v>
      </c>
      <c r="B81" s="8" t="n">
        <f aca="false">COUNTIFS(Cribado!$H$2:$H$127,"Núcleo",Cribado!$AL$2:$AL$127,"Sí",Cribado!$O$2:$O$127,"Español (solo o con otras lenguas)")</f>
        <v>0</v>
      </c>
    </row>
  </sheetData>
  <mergeCells count="2">
    <mergeCell ref="A2:F2"/>
    <mergeCell ref="A52:F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16"/>
    <col collapsed="false" customWidth="true" hidden="false" outlineLevel="0" max="4" min="4" style="0" width="24"/>
    <col collapsed="false" customWidth="true" hidden="false" outlineLevel="0" max="5" min="5" style="0" width="11"/>
    <col collapsed="false" customWidth="true" hidden="false" outlineLevel="0" max="6" min="6" style="0" width="30"/>
    <col collapsed="false" customWidth="true" hidden="false" outlineLevel="0" max="7" min="7" style="0" width="62"/>
    <col collapsed="false" customWidth="true" hidden="false" outlineLevel="0" max="8" min="8" style="0" width="16"/>
  </cols>
  <sheetData>
    <row r="1" customFormat="false" ht="64.15" hidden="false" customHeight="false" outlineLevel="0" collapsed="false">
      <c r="A1" s="1" t="s">
        <v>1361</v>
      </c>
    </row>
    <row r="2" customFormat="false" ht="27.75" hidden="false" customHeight="true" outlineLevel="0" collapsed="false">
      <c r="A2" s="2" t="s">
        <v>1362</v>
      </c>
      <c r="B2" s="2"/>
      <c r="C2" s="2"/>
      <c r="D2" s="2"/>
      <c r="E2" s="2"/>
      <c r="F2" s="2"/>
      <c r="G2" s="2"/>
      <c r="H2" s="2"/>
    </row>
    <row r="4" customFormat="false" ht="35.05" hidden="false" customHeight="false" outlineLevel="0" collapsed="false">
      <c r="A4" s="7" t="s">
        <v>1363</v>
      </c>
      <c r="B4" s="7" t="s">
        <v>1352</v>
      </c>
      <c r="C4" s="7" t="s">
        <v>1364</v>
      </c>
      <c r="D4" s="7" t="s">
        <v>1365</v>
      </c>
      <c r="E4" s="7" t="s">
        <v>1366</v>
      </c>
      <c r="F4" s="7" t="s">
        <v>1367</v>
      </c>
      <c r="G4" s="7" t="s">
        <v>1368</v>
      </c>
      <c r="H4" s="7" t="s">
        <v>1369</v>
      </c>
    </row>
    <row r="5" customFormat="false" ht="60" hidden="false" customHeight="true" outlineLevel="0" collapsed="false">
      <c r="A5" s="6" t="s">
        <v>1370</v>
      </c>
      <c r="B5" s="5" t="s">
        <v>144</v>
      </c>
      <c r="C5" s="6" t="s">
        <v>1371</v>
      </c>
      <c r="D5" s="6" t="s">
        <v>1372</v>
      </c>
      <c r="E5" s="8" t="n">
        <f aca="false">COUNTIFS(Cribado!$H$2:$H$127,"Núcleo",Cribado!$X$2:$X$127,"X")</f>
        <v>15</v>
      </c>
      <c r="F5" s="6" t="s">
        <v>1373</v>
      </c>
      <c r="G5" s="6" t="s">
        <v>1374</v>
      </c>
      <c r="H5" s="6" t="s">
        <v>1371</v>
      </c>
    </row>
    <row r="6" customFormat="false" ht="45" hidden="false" customHeight="true" outlineLevel="0" collapsed="false">
      <c r="A6" s="6" t="s">
        <v>1370</v>
      </c>
      <c r="B6" s="5" t="s">
        <v>145</v>
      </c>
      <c r="C6" s="6" t="s">
        <v>1371</v>
      </c>
      <c r="D6" s="6" t="s">
        <v>1375</v>
      </c>
      <c r="E6" s="8" t="n">
        <f aca="false">COUNTIFS(Cribado!$H$2:$H$127,"Núcleo",Cribado!$Y$2:$Y$127,"X")</f>
        <v>7</v>
      </c>
      <c r="F6" s="6" t="s">
        <v>1376</v>
      </c>
      <c r="G6" s="6" t="s">
        <v>1377</v>
      </c>
      <c r="H6" s="6" t="s">
        <v>1371</v>
      </c>
    </row>
    <row r="7" customFormat="false" ht="45" hidden="false" customHeight="true" outlineLevel="0" collapsed="false">
      <c r="A7" s="6" t="s">
        <v>1370</v>
      </c>
      <c r="B7" s="5" t="s">
        <v>146</v>
      </c>
      <c r="C7" s="6" t="s">
        <v>1371</v>
      </c>
      <c r="D7" s="6" t="s">
        <v>1375</v>
      </c>
      <c r="E7" s="8" t="n">
        <f aca="false">COUNTIFS(Cribado!$H$2:$H$127,"Núcleo",Cribado!$Z$2:$Z$127,"X")</f>
        <v>8</v>
      </c>
      <c r="F7" s="6" t="s">
        <v>1378</v>
      </c>
      <c r="G7" s="6" t="s">
        <v>1379</v>
      </c>
      <c r="H7" s="6" t="s">
        <v>1371</v>
      </c>
    </row>
    <row r="8" customFormat="false" ht="60" hidden="false" customHeight="true" outlineLevel="0" collapsed="false">
      <c r="A8" s="6" t="s">
        <v>1370</v>
      </c>
      <c r="B8" s="5" t="s">
        <v>147</v>
      </c>
      <c r="C8" s="6" t="s">
        <v>1371</v>
      </c>
      <c r="D8" s="6" t="s">
        <v>1380</v>
      </c>
      <c r="E8" s="8" t="n">
        <f aca="false">COUNTIFS(Cribado!$H$2:$H$127,"Núcleo",Cribado!$AA$2:$AA$127,"X")</f>
        <v>7</v>
      </c>
      <c r="F8" s="6" t="s">
        <v>1381</v>
      </c>
      <c r="G8" s="6" t="s">
        <v>1382</v>
      </c>
      <c r="H8" s="6" t="s">
        <v>1371</v>
      </c>
    </row>
    <row r="9" customFormat="false" ht="105" hidden="false" customHeight="true" outlineLevel="0" collapsed="false">
      <c r="A9" s="6" t="s">
        <v>1370</v>
      </c>
      <c r="B9" s="5" t="s">
        <v>1383</v>
      </c>
      <c r="C9" s="6" t="s">
        <v>1371</v>
      </c>
      <c r="D9" s="6" t="s">
        <v>1384</v>
      </c>
      <c r="E9" s="8" t="n">
        <f aca="false">COUNTIFS(Cribado!$H$2:$H$127,"Núcleo",Cribado!$AB$2:$AB$127,"X")</f>
        <v>12</v>
      </c>
      <c r="F9" s="6" t="s">
        <v>1385</v>
      </c>
      <c r="G9" s="6" t="s">
        <v>1386</v>
      </c>
      <c r="H9" s="6" t="s">
        <v>1387</v>
      </c>
    </row>
    <row r="10" customFormat="false" ht="45" hidden="false" customHeight="true" outlineLevel="0" collapsed="false">
      <c r="A10" s="6" t="s">
        <v>1370</v>
      </c>
      <c r="B10" s="5" t="s">
        <v>1388</v>
      </c>
      <c r="C10" s="6" t="s">
        <v>1371</v>
      </c>
      <c r="D10" s="6" t="s">
        <v>1389</v>
      </c>
      <c r="E10" s="8" t="n">
        <f aca="false">COUNTIFS(Cribado!$H$2:$H$127,"Núcleo",Cribado!$AC$2:$AC$127,"X")</f>
        <v>5</v>
      </c>
      <c r="F10" s="6" t="s">
        <v>1390</v>
      </c>
      <c r="G10" s="6" t="s">
        <v>1391</v>
      </c>
      <c r="H10" s="6" t="s">
        <v>1371</v>
      </c>
    </row>
    <row r="11" customFormat="false" ht="45" hidden="false" customHeight="true" outlineLevel="0" collapsed="false">
      <c r="A11" s="6" t="s">
        <v>1392</v>
      </c>
      <c r="B11" s="5" t="s">
        <v>150</v>
      </c>
      <c r="C11" s="6" t="s">
        <v>1393</v>
      </c>
      <c r="D11" s="6" t="s">
        <v>1384</v>
      </c>
      <c r="E11" s="8" t="n">
        <f aca="false">COUNTIFS(Cribado!$H$2:$H$127,"Núcleo",Cribado!$AD$2:$AD$127,"X")</f>
        <v>7</v>
      </c>
      <c r="F11" s="6" t="s">
        <v>1394</v>
      </c>
      <c r="G11" s="6" t="s">
        <v>1395</v>
      </c>
      <c r="H11" s="6" t="s">
        <v>1371</v>
      </c>
    </row>
    <row r="12" customFormat="false" ht="45" hidden="false" customHeight="true" outlineLevel="0" collapsed="false">
      <c r="A12" s="6" t="s">
        <v>1392</v>
      </c>
      <c r="B12" s="5" t="s">
        <v>151</v>
      </c>
      <c r="C12" s="6" t="s">
        <v>1393</v>
      </c>
      <c r="D12" s="6" t="s">
        <v>1396</v>
      </c>
      <c r="E12" s="8" t="n">
        <f aca="false">COUNTIFS(Cribado!$H$2:$H$127,"Núcleo",Cribado!$AE$2:$AE$127,"X")</f>
        <v>4</v>
      </c>
      <c r="F12" s="6" t="s">
        <v>1397</v>
      </c>
      <c r="G12" s="6" t="s">
        <v>1398</v>
      </c>
      <c r="H12" s="6" t="s">
        <v>1371</v>
      </c>
    </row>
    <row r="13" customFormat="false" ht="60" hidden="false" customHeight="true" outlineLevel="0" collapsed="false">
      <c r="A13" s="6" t="s">
        <v>1392</v>
      </c>
      <c r="B13" s="5" t="s">
        <v>152</v>
      </c>
      <c r="C13" s="6" t="s">
        <v>1393</v>
      </c>
      <c r="D13" s="6" t="s">
        <v>1399</v>
      </c>
      <c r="E13" s="8" t="n">
        <f aca="false">COUNTIFS(Cribado!$H$2:$H$127,"Núcleo",Cribado!$AF$2:$AF$127,"X")</f>
        <v>2</v>
      </c>
      <c r="F13" s="6" t="s">
        <v>1400</v>
      </c>
      <c r="G13" s="6" t="s">
        <v>1401</v>
      </c>
      <c r="H13" s="6" t="s">
        <v>1402</v>
      </c>
    </row>
    <row r="14" customFormat="false" ht="75" hidden="false" customHeight="true" outlineLevel="0" collapsed="false">
      <c r="A14" s="6" t="s">
        <v>1403</v>
      </c>
      <c r="B14" s="5" t="s">
        <v>153</v>
      </c>
      <c r="C14" s="6" t="s">
        <v>1404</v>
      </c>
      <c r="D14" s="6" t="s">
        <v>1405</v>
      </c>
      <c r="E14" s="8" t="n">
        <f aca="false">COUNTIFS(Cribado!$H$2:$H$127,"Núcleo",Cribado!$AG$2:$AG$127,"X")</f>
        <v>6</v>
      </c>
      <c r="F14" s="6" t="s">
        <v>1406</v>
      </c>
      <c r="G14" s="6" t="s">
        <v>1407</v>
      </c>
      <c r="H14" s="6" t="s">
        <v>1371</v>
      </c>
    </row>
    <row r="15" customFormat="false" ht="45" hidden="false" customHeight="true" outlineLevel="0" collapsed="false">
      <c r="A15" s="6" t="s">
        <v>1403</v>
      </c>
      <c r="B15" s="5" t="s">
        <v>1408</v>
      </c>
      <c r="C15" s="6" t="s">
        <v>1409</v>
      </c>
      <c r="D15" s="6" t="s">
        <v>1389</v>
      </c>
      <c r="E15" s="8" t="n">
        <f aca="false">COUNTIFS(Cribado!$H$2:$H$127,"Núcleo",Cribado!$AH$2:$AH$127,"X")</f>
        <v>1</v>
      </c>
      <c r="F15" s="6" t="s">
        <v>452</v>
      </c>
      <c r="G15" s="6" t="s">
        <v>1410</v>
      </c>
      <c r="H15" s="6" t="s">
        <v>1411</v>
      </c>
    </row>
    <row r="16" customFormat="false" ht="60" hidden="false" customHeight="true" outlineLevel="0" collapsed="false">
      <c r="A16" s="6" t="s">
        <v>1403</v>
      </c>
      <c r="B16" s="5" t="s">
        <v>155</v>
      </c>
      <c r="C16" s="6" t="s">
        <v>1409</v>
      </c>
      <c r="D16" s="6" t="s">
        <v>1384</v>
      </c>
      <c r="E16" s="8" t="n">
        <f aca="false">COUNTIFS(Cribado!$H$2:$H$127,"Núcleo",Cribado!$AI$2:$AI$127,"X")</f>
        <v>0</v>
      </c>
      <c r="F16" s="6" t="s">
        <v>1412</v>
      </c>
      <c r="G16" s="6" t="s">
        <v>1413</v>
      </c>
      <c r="H16" s="6" t="s">
        <v>1414</v>
      </c>
    </row>
    <row r="17" customFormat="false" ht="45" hidden="false" customHeight="true" outlineLevel="0" collapsed="false">
      <c r="A17" s="6" t="s">
        <v>1403</v>
      </c>
      <c r="B17" s="5" t="s">
        <v>156</v>
      </c>
      <c r="C17" s="6" t="s">
        <v>1409</v>
      </c>
      <c r="D17" s="6" t="s">
        <v>1384</v>
      </c>
      <c r="E17" s="8" t="n">
        <f aca="false">COUNTIFS(Cribado!$H$2:$H$127,"Núcleo",Cribado!$AJ$2:$AJ$127,"X")</f>
        <v>0</v>
      </c>
      <c r="F17" s="6" t="s">
        <v>1412</v>
      </c>
      <c r="G17" s="6" t="s">
        <v>1415</v>
      </c>
      <c r="H17" s="6" t="s">
        <v>1414</v>
      </c>
    </row>
    <row r="18" customFormat="false" ht="75" hidden="false" customHeight="true" outlineLevel="0" collapsed="false">
      <c r="A18" s="6" t="s">
        <v>1416</v>
      </c>
      <c r="B18" s="5" t="s">
        <v>1417</v>
      </c>
      <c r="C18" s="6" t="s">
        <v>21</v>
      </c>
      <c r="D18" s="6" t="s">
        <v>1418</v>
      </c>
      <c r="E18" s="8" t="n">
        <f aca="false">COUNTIFS(Cribado!$H$2:$H$127,"Núcleo",Cribado!$AK$2:$AK$127,"X")</f>
        <v>0</v>
      </c>
      <c r="F18" s="6" t="s">
        <v>1419</v>
      </c>
      <c r="G18" s="6" t="s">
        <v>1420</v>
      </c>
      <c r="H18" s="6" t="s">
        <v>1421</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5" min="4" style="0" width="40"/>
    <col collapsed="false" customWidth="true" hidden="false" outlineLevel="0" max="6" min="6" style="0" width="46"/>
    <col collapsed="false" customWidth="true" hidden="false" outlineLevel="0" max="7" min="7" style="0" width="36"/>
    <col collapsed="false" customWidth="true" hidden="false" outlineLevel="0" max="8" min="8" style="0" width="12"/>
  </cols>
  <sheetData>
    <row r="1" customFormat="false" ht="236.55" hidden="false" customHeight="false" outlineLevel="0" collapsed="false">
      <c r="A1" s="1" t="s">
        <v>1422</v>
      </c>
    </row>
    <row r="3" customFormat="false" ht="23.85" hidden="false" customHeight="false" outlineLevel="0" collapsed="false">
      <c r="A3" s="7" t="s">
        <v>127</v>
      </c>
      <c r="B3" s="7" t="s">
        <v>1423</v>
      </c>
      <c r="C3" s="7" t="s">
        <v>1424</v>
      </c>
      <c r="D3" s="7" t="s">
        <v>1425</v>
      </c>
      <c r="E3" s="7" t="s">
        <v>1426</v>
      </c>
      <c r="F3" s="7" t="s">
        <v>1427</v>
      </c>
      <c r="G3" s="7" t="s">
        <v>1428</v>
      </c>
      <c r="H3" s="7" t="s">
        <v>1429</v>
      </c>
    </row>
    <row r="4" customFormat="false" ht="91" hidden="false" customHeight="false" outlineLevel="0" collapsed="false">
      <c r="A4" s="5" t="s">
        <v>1159</v>
      </c>
      <c r="B4" s="6" t="s">
        <v>1430</v>
      </c>
      <c r="C4" s="6" t="s">
        <v>1431</v>
      </c>
      <c r="D4" s="6" t="s">
        <v>1432</v>
      </c>
      <c r="E4" s="6" t="s">
        <v>1433</v>
      </c>
      <c r="F4" s="6" t="s">
        <v>1434</v>
      </c>
      <c r="G4" s="6" t="s">
        <v>1435</v>
      </c>
      <c r="H4" s="6" t="s">
        <v>1436</v>
      </c>
    </row>
    <row r="5" customFormat="false" ht="68.65" hidden="false" customHeight="false" outlineLevel="0" collapsed="false">
      <c r="A5" s="5" t="s">
        <v>421</v>
      </c>
      <c r="B5" s="6" t="s">
        <v>1437</v>
      </c>
      <c r="C5" s="6" t="s">
        <v>1438</v>
      </c>
      <c r="D5" s="6" t="s">
        <v>1439</v>
      </c>
      <c r="E5" s="6" t="s">
        <v>1440</v>
      </c>
      <c r="F5" s="6" t="s">
        <v>1441</v>
      </c>
      <c r="G5" s="6" t="s">
        <v>1442</v>
      </c>
      <c r="H5" s="6" t="s">
        <v>1443</v>
      </c>
    </row>
    <row r="6" customFormat="false" ht="68.65" hidden="false" customHeight="false" outlineLevel="0" collapsed="false">
      <c r="A6" s="5" t="s">
        <v>1150</v>
      </c>
      <c r="B6" s="6" t="s">
        <v>1444</v>
      </c>
      <c r="C6" s="6" t="s">
        <v>1445</v>
      </c>
      <c r="D6" s="6" t="s">
        <v>1446</v>
      </c>
      <c r="E6" s="6" t="s">
        <v>1447</v>
      </c>
      <c r="F6" s="6" t="s">
        <v>1448</v>
      </c>
      <c r="G6" s="6" t="s">
        <v>1449</v>
      </c>
      <c r="H6" s="6" t="s">
        <v>1450</v>
      </c>
    </row>
    <row r="7" customFormat="false" ht="57.45" hidden="false" customHeight="false" outlineLevel="0" collapsed="false">
      <c r="A7" s="5" t="s">
        <v>843</v>
      </c>
      <c r="B7" s="6" t="s">
        <v>1451</v>
      </c>
      <c r="C7" s="6" t="s">
        <v>1452</v>
      </c>
      <c r="D7" s="6" t="s">
        <v>1453</v>
      </c>
      <c r="E7" s="6" t="s">
        <v>1454</v>
      </c>
      <c r="F7" s="6" t="s">
        <v>1455</v>
      </c>
      <c r="G7" s="6" t="s">
        <v>1456</v>
      </c>
      <c r="H7" s="6" t="s">
        <v>1457</v>
      </c>
    </row>
    <row r="8" customFormat="false" ht="68.65" hidden="false" customHeight="false" outlineLevel="0" collapsed="false">
      <c r="A8" s="5" t="s">
        <v>1096</v>
      </c>
      <c r="B8" s="6" t="s">
        <v>1458</v>
      </c>
      <c r="C8" s="6" t="s">
        <v>1459</v>
      </c>
      <c r="D8" s="6" t="s">
        <v>1460</v>
      </c>
      <c r="E8" s="6" t="s">
        <v>1461</v>
      </c>
      <c r="F8" s="6" t="s">
        <v>1462</v>
      </c>
      <c r="G8" s="6" t="s">
        <v>1463</v>
      </c>
      <c r="H8" s="6" t="s">
        <v>1464</v>
      </c>
    </row>
    <row r="9" customFormat="false" ht="68.65" hidden="false" customHeight="false" outlineLevel="0" collapsed="false">
      <c r="A9" s="5" t="s">
        <v>1176</v>
      </c>
      <c r="B9" s="6" t="s">
        <v>1465</v>
      </c>
      <c r="C9" s="6" t="s">
        <v>1466</v>
      </c>
      <c r="D9" s="6" t="s">
        <v>1467</v>
      </c>
      <c r="E9" s="6" t="s">
        <v>1468</v>
      </c>
      <c r="F9" s="6" t="s">
        <v>1469</v>
      </c>
      <c r="G9" s="6" t="s">
        <v>1470</v>
      </c>
      <c r="H9" s="6" t="s">
        <v>1471</v>
      </c>
    </row>
    <row r="10" customFormat="false" ht="68.65" hidden="false" customHeight="false" outlineLevel="0" collapsed="false">
      <c r="A10" s="5" t="s">
        <v>710</v>
      </c>
      <c r="B10" s="6" t="s">
        <v>1472</v>
      </c>
      <c r="C10" s="6" t="s">
        <v>1473</v>
      </c>
      <c r="D10" s="6" t="s">
        <v>1474</v>
      </c>
      <c r="E10" s="6" t="s">
        <v>1475</v>
      </c>
      <c r="F10" s="6" t="s">
        <v>1476</v>
      </c>
      <c r="G10" s="6" t="s">
        <v>1477</v>
      </c>
      <c r="H10" s="6" t="s">
        <v>1478</v>
      </c>
    </row>
    <row r="11" customFormat="false" ht="68.65" hidden="false" customHeight="false" outlineLevel="0" collapsed="false">
      <c r="A11" s="5" t="s">
        <v>928</v>
      </c>
      <c r="B11" s="6" t="s">
        <v>1479</v>
      </c>
      <c r="C11" s="6" t="s">
        <v>1480</v>
      </c>
      <c r="D11" s="6" t="s">
        <v>1481</v>
      </c>
      <c r="E11" s="6" t="s">
        <v>1482</v>
      </c>
      <c r="F11" s="6" t="s">
        <v>1483</v>
      </c>
      <c r="G11" s="6" t="s">
        <v>1484</v>
      </c>
      <c r="H11" s="6" t="s">
        <v>1485</v>
      </c>
    </row>
    <row r="12" customFormat="false" ht="68.65" hidden="false" customHeight="false" outlineLevel="0" collapsed="false">
      <c r="A12" s="5" t="s">
        <v>381</v>
      </c>
      <c r="B12" s="6" t="s">
        <v>1486</v>
      </c>
      <c r="C12" s="6" t="s">
        <v>1487</v>
      </c>
      <c r="D12" s="6" t="s">
        <v>1488</v>
      </c>
      <c r="E12" s="6" t="s">
        <v>1489</v>
      </c>
      <c r="F12" s="6" t="s">
        <v>1490</v>
      </c>
      <c r="G12" s="6" t="s">
        <v>1491</v>
      </c>
      <c r="H12" s="6" t="s">
        <v>1492</v>
      </c>
    </row>
    <row r="13" customFormat="false" ht="57.45" hidden="false" customHeight="false" outlineLevel="0" collapsed="false">
      <c r="A13" s="5" t="s">
        <v>332</v>
      </c>
      <c r="B13" s="6" t="s">
        <v>1493</v>
      </c>
      <c r="C13" s="6" t="s">
        <v>1494</v>
      </c>
      <c r="D13" s="6" t="s">
        <v>1495</v>
      </c>
      <c r="E13" s="6" t="s">
        <v>1496</v>
      </c>
      <c r="F13" s="6" t="s">
        <v>1497</v>
      </c>
      <c r="G13" s="6" t="s">
        <v>1498</v>
      </c>
      <c r="H13" s="6" t="s">
        <v>1499</v>
      </c>
    </row>
    <row r="14" customFormat="false" ht="79.85" hidden="false" customHeight="false" outlineLevel="0" collapsed="false">
      <c r="A14" s="5" t="s">
        <v>1011</v>
      </c>
      <c r="B14" s="6" t="s">
        <v>1500</v>
      </c>
      <c r="C14" s="6" t="s">
        <v>1501</v>
      </c>
      <c r="D14" s="6" t="s">
        <v>1502</v>
      </c>
      <c r="E14" s="6" t="s">
        <v>1503</v>
      </c>
      <c r="F14" s="6" t="s">
        <v>1504</v>
      </c>
      <c r="G14" s="6" t="s">
        <v>1505</v>
      </c>
      <c r="H14" s="6" t="s">
        <v>1506</v>
      </c>
    </row>
    <row r="15" customFormat="false" ht="68.65" hidden="false" customHeight="false" outlineLevel="0" collapsed="false">
      <c r="A15" s="5" t="s">
        <v>281</v>
      </c>
      <c r="B15" s="6" t="s">
        <v>1507</v>
      </c>
      <c r="C15" s="6" t="s">
        <v>1508</v>
      </c>
      <c r="D15" s="6" t="s">
        <v>1509</v>
      </c>
      <c r="E15" s="6" t="s">
        <v>1510</v>
      </c>
      <c r="F15" s="6" t="s">
        <v>1511</v>
      </c>
      <c r="G15" s="6" t="s">
        <v>1512</v>
      </c>
      <c r="H15" s="6" t="s">
        <v>1506</v>
      </c>
    </row>
    <row r="16" customFormat="false" ht="35.05" hidden="false" customHeight="false" outlineLevel="0" collapsed="false">
      <c r="A16" s="5" t="s">
        <v>638</v>
      </c>
      <c r="B16" s="6" t="s">
        <v>1513</v>
      </c>
      <c r="C16" s="6" t="s">
        <v>1514</v>
      </c>
      <c r="D16" s="6" t="s">
        <v>1515</v>
      </c>
      <c r="E16" s="6" t="s">
        <v>1516</v>
      </c>
      <c r="F16" s="6" t="s">
        <v>1517</v>
      </c>
      <c r="G16" s="6" t="s">
        <v>1518</v>
      </c>
      <c r="H16" s="6" t="s">
        <v>1506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2"/>
    <col collapsed="false" customWidth="true" hidden="false" outlineLevel="0" max="3" min="3" style="0" width="46"/>
    <col collapsed="false" customWidth="true" hidden="false" outlineLevel="0" max="4" min="4" style="0" width="20"/>
  </cols>
  <sheetData>
    <row r="1" customFormat="false" ht="48.5" hidden="false" customHeight="false" outlineLevel="0" collapsed="false">
      <c r="A1" s="1" t="s">
        <v>1519</v>
      </c>
    </row>
    <row r="3" customFormat="false" ht="15" hidden="false" customHeight="false" outlineLevel="0" collapsed="false">
      <c r="A3" s="7" t="s">
        <v>1520</v>
      </c>
      <c r="B3" s="7" t="s">
        <v>1521</v>
      </c>
      <c r="C3" s="7" t="s">
        <v>1522</v>
      </c>
      <c r="D3" s="7" t="s">
        <v>1429</v>
      </c>
    </row>
    <row r="4" customFormat="false" ht="105" hidden="false" customHeight="true" outlineLevel="0" collapsed="false">
      <c r="A4" s="5" t="s">
        <v>1523</v>
      </c>
      <c r="B4" s="6" t="str">
        <f aca="false">COUNTIFS(Cribado!$H$2:$H$127,"Núcleo",Cribado!$W$2:$W$127,"Sí")&amp;" de los "&amp;COUNTIF(Cribado!$H$2:$H$127,"Núcleo")&amp;" estudios núcleo combinan regex o reglas con un modelo aprendido. Los que comparan el híbrido con cada componente por separado encuentran que el híbrido gana: S046 (F1 0,515 frente a 0,445 de regex y "&amp;"0,166 de spaCy), S029, S027, S001 (hasta 15 puntos más de exactitud) y S110, donde el posprocesamiento con reglas reduce 32 % los falsos negativos. El texto completo de S071 muestra el costo de sumar "&amp;"componentes sin consolidarlos: agregar NER sube el recall de 0,932 a 0,950, pero baja la precisión a 0,686."</f>
        <v>41 de los 85 estudios núcleo combinan regex o reglas con un modelo aprendido. Los que comparan el híbrido con cada componente por separado encuentran que el híbrido gana: S046 (F1 0,515 frente a 0,445 de regex y 0,166 de spaCy), S029, S027, S001 (hasta 15 puntos más de exactitud) y S110, donde el posprocesamiento con reglas reduce 32 % los falsos negativos. El texto completo de S071 muestra el costo de sumar componentes sin consolidarlos: agregar NER sube el recall de 0,932 a 0,950, pero baja la precisión a 0,686.</v>
      </c>
      <c r="C4" s="6" t="s">
        <v>1524</v>
      </c>
      <c r="D4" s="6" t="s">
        <v>1525</v>
      </c>
    </row>
    <row r="5" customFormat="false" ht="105" hidden="false" customHeight="true" outlineLevel="0" collapsed="false">
      <c r="A5" s="5" t="s">
        <v>1526</v>
      </c>
      <c r="B5" s="6" t="s">
        <v>1527</v>
      </c>
      <c r="C5" s="6" t="s">
        <v>1528</v>
      </c>
      <c r="D5" s="6" t="s">
        <v>1529</v>
      </c>
    </row>
    <row r="6" customFormat="false" ht="75" hidden="false" customHeight="true" outlineLevel="0" collapsed="false">
      <c r="A6" s="5" t="s">
        <v>1530</v>
      </c>
      <c r="B6" s="6" t="s">
        <v>1531</v>
      </c>
      <c r="C6" s="6" t="s">
        <v>1532</v>
      </c>
      <c r="D6" s="6" t="s">
        <v>1478</v>
      </c>
    </row>
    <row r="7" customFormat="false" ht="75" hidden="false" customHeight="true" outlineLevel="0" collapsed="false">
      <c r="A7" s="5" t="s">
        <v>1533</v>
      </c>
      <c r="B7" s="6" t="str">
        <f aca="false">COUNTIFS(Cribado!$H$2:$H$127,"Núcleo",Cribado!$T$2:$T$127,"X")&amp;" estudios núcleo usan un LLM. Varias comparaciones directas favorecen modelos más pequeños o reglas: S074 (tickets de soporte), S121 (reglas 0,866 frente a 0,752 de GPT-3.5), S059 (modelos NER pequeño"&amp;"s superan a GPT-4o) y S004 (pérdida de 20 % a 40 % de recall en nombres ambiguos). En cambio, S102 y S120 obtienen su mejor resultado con un LLM local ajustado."</f>
        <v>24 estudios núcleo usan un LLM. Varias comparaciones directas favorecen modelos más pequeños o reglas: S074 (tickets de soporte), S121 (reglas 0,866 frente a 0,752 de GPT-3.5), S059 (modelos NER pequeños superan a GPT-4o) y S004 (pérdida de 20 % a 40 % de recall en nombres ambiguos). En cambio, S102 y S120 obtienen su mejor resultado con un LLM local ajustado.</v>
      </c>
      <c r="C7" s="6" t="s">
        <v>1534</v>
      </c>
      <c r="D7" s="6" t="s">
        <v>1535</v>
      </c>
    </row>
    <row r="8" customFormat="false" ht="75" hidden="false" customHeight="true" outlineLevel="0" collapsed="false">
      <c r="A8" s="5" t="s">
        <v>1536</v>
      </c>
      <c r="B8" s="6" t="str">
        <f aca="false">COUNTIFS(Cribado!$H$2:$H$127,"Núcleo",Cribado!$AM$2:$AM$127,"Sí")&amp;" estudios núcleo miden la utilidad del texto protegido. S022 mide la fuga residual (de 100 % a 16,06 %) junto con BERTScore y S067 reporta una Fβ con β = 5 orientada al recall. Las métricas de protecc"&amp;"ión por tipo de identificador (ER_di, ER_qi y WP) provienen de TAB (Pilán et al., 2022), que está fuera de la búsqueda."</f>
        <v>12 estudios núcleo miden la utilidad del texto protegido. S022 mide la fuga residual (de 100 % a 16,06 %) junto con BERTScore y S067 reporta una Fβ con β = 5 orientada al recall. Las métricas de protección por tipo de identificador (ER_di, ER_qi y WP) provienen de TAB (Pilán et al., 2022), que está fuera de la búsqueda.</v>
      </c>
      <c r="C8" s="6" t="s">
        <v>1537</v>
      </c>
      <c r="D8" s="6" t="s">
        <v>1492</v>
      </c>
    </row>
    <row r="9" customFormat="false" ht="90" hidden="false" customHeight="true" outlineLevel="0" collapsed="false">
      <c r="A9" s="5" t="s">
        <v>1538</v>
      </c>
      <c r="B9" s="6" t="str">
        <f aca="false">COUNTIFS(Cribado!$H$2:$H$127,"Núcleo",Cribado!$AL$2:$AL$127,"Sí")&amp;" estudios núcleo protegen el texto antes de que salga hacia un servicio externo (S017, S022, S028, S048, S056, S075, S090, S102 y S115). S048 valida el prompt con un NER corporativo antes de enviarlo "&amp;"a ChatGPT, pero no reporta métricas en el abstract. Solo "&amp;COUNTIFS(Cribado!$H$2:$H$127,"Núcleo",Cribado!$AL$2:$AL$127,"Sí",Cribado!$AN$2:$AN$127,"Sí")&amp;" miden la respuesta que genera el LLM (S017 y S090), ambos en inglés. Las cifras de S090 son autorreportadas: su repositorio no permite reproducirlas (hoja Lectura_profunda)."</f>
        <v>9 estudios núcleo protegen el texto antes de que salga hacia un servicio externo (S017, S022, S028, S048, S056, S075, S090, S102 y S115). S048 valida el prompt con un NER corporativo antes de enviarlo a ChatGPT, pero no reporta métricas en el abstract. Solo 2 miden la respuesta que genera el LLM (S017 y S090), ambos en inglés. Las cifras de S090 son autorreportadas: su repositorio no permite reproducirlas (hoja Lectura_profunda).</v>
      </c>
      <c r="C9" s="6" t="s">
        <v>1539</v>
      </c>
      <c r="D9" s="6" t="s">
        <v>1540</v>
      </c>
    </row>
    <row r="10" customFormat="false" ht="60" hidden="false" customHeight="true" outlineLevel="0" collapsed="false">
      <c r="A10" s="5" t="s">
        <v>1541</v>
      </c>
      <c r="B10" s="6" t="str">
        <f aca="false">COUNTIFS(Cribado!$H$2:$H$127,"Núcleo",Cribado!$O$2:$O$127,"Español (solo o con otras lenguas)")&amp;" de los "&amp;COUNTIF(Cribado!$H$2:$H$127,"Núcleo")&amp;" estudios núcleo evalúan textos en español (S047, S059, S064, S107 y S113), todos clínicos, jurídicos o policiales. Ninguno trata prompts empresariales ni identificadores colombianos; la única evidenc"&amp;"ia colombiana (S013) es habla transcrita y quedó como complementaria."</f>
        <v>5 de los 85 estudios núcleo evalúan textos en español (S047, S059, S064, S107 y S113), todos clínicos, jurídicos o policiales. Ninguno trata prompts empresariales ni identificadores colombianos; la única evidencia colombiana (S013) es habla transcrita y quedó como complementaria.</v>
      </c>
      <c r="C10" s="6" t="s">
        <v>1542</v>
      </c>
      <c r="D10" s="6" t="s">
        <v>1543</v>
      </c>
    </row>
    <row r="11" customFormat="false" ht="60" hidden="false" customHeight="true" outlineLevel="0" collapsed="false">
      <c r="A11" s="5" t="s">
        <v>1544</v>
      </c>
      <c r="B11" s="6" t="str">
        <f aca="false">COUNTIFS(Cribado!$H$2:$H$127,"Núcleo",Cribado!$M$2:$M$127,"Salud / clínico")&amp;" estudios núcleo son del dominio clínico. Los que miden la transferencia encuentran caídas: S030 pasa de F1 0,975 a 0,843 fuera de dominio y S085 encuentra que el dominio médico transfiere mal a otros"&amp;"."</f>
        <v>17 estudios núcleo son del dominio clínico. Los que miden la transferencia encuentran caídas: S030 pasa de F1 0,975 a 0,843 fuera de dominio y S085 encuentra que el dominio médico transfiere mal a otros.</v>
      </c>
      <c r="C11" s="6" t="s">
        <v>1545</v>
      </c>
      <c r="D11" s="6" t="s">
        <v>1546</v>
      </c>
    </row>
    <row r="12" customFormat="false" ht="90" hidden="false" customHeight="true" outlineLevel="0" collapsed="false">
      <c r="A12" s="5" t="s">
        <v>1547</v>
      </c>
      <c r="B12" s="6" t="s">
        <v>1548</v>
      </c>
      <c r="C12" s="6" t="s">
        <v>1549</v>
      </c>
      <c r="D12" s="6" t="s">
        <v>1464</v>
      </c>
    </row>
    <row r="13" customFormat="false" ht="60" hidden="false" customHeight="true" outlineLevel="0" collapsed="false">
      <c r="A13" s="5" t="s">
        <v>1550</v>
      </c>
      <c r="B13" s="6" t="s">
        <v>1551</v>
      </c>
      <c r="C13" s="6" t="s">
        <v>1552</v>
      </c>
      <c r="D13" s="6" t="s">
        <v>1553</v>
      </c>
    </row>
    <row r="14" customFormat="false" ht="60" hidden="false" customHeight="true" outlineLevel="0" collapsed="false">
      <c r="A14" s="5" t="s">
        <v>1554</v>
      </c>
      <c r="B14" s="6" t="s">
        <v>1555</v>
      </c>
      <c r="C14" s="6" t="s">
        <v>1556</v>
      </c>
      <c r="D14" s="6" t="s">
        <v>1557</v>
      </c>
    </row>
    <row r="15" customFormat="false" ht="75" hidden="false" customHeight="true" outlineLevel="0" collapsed="false">
      <c r="A15" s="5" t="s">
        <v>1558</v>
      </c>
      <c r="B15" s="6" t="s">
        <v>1559</v>
      </c>
      <c r="C15" s="6" t="s">
        <v>1560</v>
      </c>
      <c r="D15" s="6" t="s">
        <v>1561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2026-10-11T01:38:44Z</dcterms:created>
  <dc:creator>openpyxl</dc:creator>
  <dc:description/>
  <dc:language>en-US</dc:language>
  <cp:lastModifiedBy/>
  <dcterms:modified xsi:type="dcterms:W3CDTF">2026-10-11T01:38:44Z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